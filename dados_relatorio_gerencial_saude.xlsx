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Unidade_01_Bruto" sheetId="2" state="visible" r:id="rId4"/>
    <sheet name="Unidade_02_Bruto" sheetId="3" state="visible" r:id="rId5"/>
    <sheet name="Unidade_03_Bruto" sheetId="4" state="visible" r:id="rId6"/>
    <sheet name="Base_Padronizada" sheetId="5" state="visible" r:id="rId7"/>
    <sheet name="Indicadores_Consolidado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<sst xmlns="http://schemas.openxmlformats.org/spreadsheetml/2006/main" count="279" uniqueCount="96">
  <si>
    <t xml:space="preserve">Automação de Relatório Gerencial — Setor Saúde</t>
  </si>
  <si>
    <t xml:space="preserve">Base de dados de apoio ao case (dados fictícios para fins ilustrativos de portfólio)</t>
  </si>
  <si>
    <t xml:space="preserve">Objetivo desta pasta de trabalho</t>
  </si>
  <si>
    <t xml:space="preserve">Esta pasta de trabalho simula o cenário descrito no case: 8 unidades de saúde enviando relatórios mensais em formatos, nomenclaturas e granularidades diferentes, que precisam ser padronizados antes de alimentar o modelo de Power BI.</t>
  </si>
  <si>
    <t xml:space="preserve">Estrutura das abas</t>
  </si>
  <si>
    <t xml:space="preserve">• Unidade_01_Bruto, Unidade_02_Bruto, Unidade_03_Bruto: amostras do formato original recebido de cada unidade, antes da padronização (colunas, nomenclaturas e formatos de data diferentes entre si).</t>
  </si>
  <si>
    <t xml:space="preserve">• Base_Padronizada: resultado do processo de padronização, com as 8 unidades e os 12 meses de 2025 já no schema único usado para alimentar o Power BI (é esta a aba a ser conectada no Power Query).</t>
  </si>
  <si>
    <t xml:space="preserve">• Indicadores_Consolidados: painel de indicadores por unidade, calculado com fórmulas a partir da Base_Padronizada (SUMIFS/AVERAGEIFS), no mesmo espírito do relatório gerencial final.</t>
  </si>
  <si>
    <t xml:space="preserve">Como isso se conecta ao case</t>
  </si>
  <si>
    <t xml:space="preserve">As abas *_Bruto ilustram o problema ("ciclo manual e repetitivo, formatos divergentes entre 8+ unidades"). A aba Base_Padronizada ilustra a solução ("padronização de nomenclaturas e formatos", "modelo replicável"). O arquivo .sql anexo mostra a mesma padronização feita em banco de dados, para os casos em que a fonte é um sistema transacional em vez de planilhas.</t>
  </si>
  <si>
    <t xml:space="preserve">Aviso</t>
  </si>
  <si>
    <t xml:space="preserve">Os dados numéricos são gerados aleatoriamente e não representam nenhum cliente real. Servem apenas para demonstrar a estrutura, o fluxo de padronização e o modelo de indicadores.</t>
  </si>
  <si>
    <t xml:space="preserve">UNIDADE 01 - CENTRO (arquivo recebido da unidade, layout original)</t>
  </si>
  <si>
    <t xml:space="preserve">Mês</t>
  </si>
  <si>
    <t xml:space="preserve">Qtde Atend.</t>
  </si>
  <si>
    <t xml:space="preserve">Fat. Bruto (R$)</t>
  </si>
  <si>
    <t xml:space="preserve">Glosa (R$)</t>
  </si>
  <si>
    <t xml:space="preserve">jan/25</t>
  </si>
  <si>
    <t xml:space="preserve">fev/25</t>
  </si>
  <si>
    <t xml:space="preserve">mar/25</t>
  </si>
  <si>
    <t xml:space="preserve">abr/25</t>
  </si>
  <si>
    <t xml:space="preserve">mai/25</t>
  </si>
  <si>
    <t xml:space="preserve">jun/25</t>
  </si>
  <si>
    <t xml:space="preserve">jul/25</t>
  </si>
  <si>
    <t xml:space="preserve">ago/25</t>
  </si>
  <si>
    <t xml:space="preserve">set/25</t>
  </si>
  <si>
    <t xml:space="preserve">out/25</t>
  </si>
  <si>
    <t xml:space="preserve">nov/25</t>
  </si>
  <si>
    <t xml:space="preserve">dez/25</t>
  </si>
  <si>
    <t xml:space="preserve">Observação: unidade não reporta custo operacional, ocupação nem tempo médio neste formato.</t>
  </si>
  <si>
    <t xml:space="preserve">UNIDADE 02 (arquivo recebido da unidade, layout original)</t>
  </si>
  <si>
    <t xml:space="preserve">Competencia</t>
  </si>
  <si>
    <t xml:space="preserve">Atendimentos</t>
  </si>
  <si>
    <t xml:space="preserve">Receita</t>
  </si>
  <si>
    <t xml:space="preserve">Custos</t>
  </si>
  <si>
    <t xml:space="preserve">Ocupacao (%)</t>
  </si>
  <si>
    <t xml:space="preserve">01/2025</t>
  </si>
  <si>
    <t xml:space="preserve">02/2025</t>
  </si>
  <si>
    <t xml:space="preserve">03/2025</t>
  </si>
  <si>
    <t xml:space="preserve">04/2025</t>
  </si>
  <si>
    <t xml:space="preserve">05/2025</t>
  </si>
  <si>
    <t xml:space="preserve">06/2025</t>
  </si>
  <si>
    <t xml:space="preserve">07/2025</t>
  </si>
  <si>
    <t xml:space="preserve">08/2025</t>
  </si>
  <si>
    <t xml:space="preserve">09/2025</t>
  </si>
  <si>
    <t xml:space="preserve">10/2025</t>
  </si>
  <si>
    <t xml:space="preserve">11/2025</t>
  </si>
  <si>
    <t xml:space="preserve">12/2025</t>
  </si>
  <si>
    <t xml:space="preserve">Observação: unidade não reporta glosas nem tempo médio de atendimento neste formato.</t>
  </si>
  <si>
    <t xml:space="preserve">UNIDADE 03 (arquivo recebido da unidade, layout original)</t>
  </si>
  <si>
    <t xml:space="preserve">Data Referência</t>
  </si>
  <si>
    <t xml:space="preserve">Nº Consultas</t>
  </si>
  <si>
    <t xml:space="preserve">Faturamento Bruto</t>
  </si>
  <si>
    <t xml:space="preserve">Valor Glosas</t>
  </si>
  <si>
    <t xml:space="preserve">Custo Operacional</t>
  </si>
  <si>
    <t xml:space="preserve">Tempo Médio (min)</t>
  </si>
  <si>
    <t xml:space="preserve">Observação: unidade não reporta taxa de ocupação neste formato.</t>
  </si>
  <si>
    <t xml:space="preserve">Base padronizada — pronta para conexão no Power Query / Power BI</t>
  </si>
  <si>
    <t xml:space="preserve">Unidade</t>
  </si>
  <si>
    <t xml:space="preserve">Competência</t>
  </si>
  <si>
    <t xml:space="preserve">Ano</t>
  </si>
  <si>
    <t xml:space="preserve">Atendimentos Realizados</t>
  </si>
  <si>
    <t xml:space="preserve">Receita Bruta (R$)</t>
  </si>
  <si>
    <t xml:space="preserve">Glosas (R$)</t>
  </si>
  <si>
    <t xml:space="preserve">Custo Operacional (R$)</t>
  </si>
  <si>
    <t xml:space="preserve">Taxa de Ocupação (%)</t>
  </si>
  <si>
    <t xml:space="preserve">Tempo Médio de Atendimento (min)</t>
  </si>
  <si>
    <t xml:space="preserve">Unidade 01</t>
  </si>
  <si>
    <t xml:space="preserve">Janeiro</t>
  </si>
  <si>
    <t xml:space="preserve">Fevereiro</t>
  </si>
  <si>
    <t xml:space="preserve">Março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</si>
  <si>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</si>
  <si>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</si>
  <si>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</si>
  <si>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</si>
  <si>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</si>
  <si>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</si>
  <si>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</si>
  <si>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</si>
  <si>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</si>
  <si>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Unidade 02</t>
  </si>
  <si>
    <t xml:space="preserve">Unidade 03</t>
  </si>
  <si>
    <t xml:space="preserve">Unidade 04</t>
  </si>
  <si>
    <t xml:space="preserve">Unidade 05</t>
  </si>
  <si>
    <t xml:space="preserve">Unidade 06</t>
  </si>
  <si>
    <t xml:space="preserve">Unidade 07</t>
  </si>
  <si>
    <t xml:space="preserve">Unidade 08</t>
  </si>
  <si>
    <t xml:space="preserve">Indicadores consolidados por unidade — calculados a partir de Base_Padronizada</t>
  </si>
  <si>
    <t xml:space="preserve">Total Atendimentos</t>
  </si>
  <si>
    <t xml:space="preserve">Receita Bruta Total (R$)</t>
  </si>
  <si>
    <t xml:space="preserve">Glosas Total (R$)</t>
  </si>
  <si>
    <t xml:space="preserve">% Glosa sobre Receita</t>
  </si>
  <si>
    <t xml:space="preserve">Custo Total (R$)</t>
  </si>
  <si>
    <t xml:space="preserve">Margem (R$)</t>
  </si>
  <si>
    <t xml:space="preserve">Ocupação Média (%)</t>
  </si>
  <si>
    <t xml:space="preserve">TOTAL / MÉDIA GERAL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</si>
</sst>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mmm/yyyy"/>
    <numFmt numFmtId="167" formatCode="#,##0.00"/>
    <numFmt numFmtId="168" formatCode="0.0%"/>
    <numFmt numFmtId="169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937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9CA3A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CA3AF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_BasePadronizada" displayName="Tbl_BasePadronizada" ref="A3:J99" headerRowCount="1" totalsRowCount="0" totalsRowShown="0">
  <autoFilter ref="A3:J99"/>
  <tableColumns count="10">
    <tableColumn id="1" name="Unidade"/>
    <tableColumn id="2" name="Competência"/>
    <tableColumn id="3" name="Ano"/>
    <tableColumn id="4" name="Mês"/>
    <tableColumn id="5" name="Atendimentos Realizados"/>
    <tableColumn id="6" name="Receita Bruta (R$)"/>
    <tableColumn id="7" name="Glosas (R$)"/>
    <tableColumn id="8" name="Custo Operacional (R$)"/>
    <tableColumn id="9" name="Taxa de Ocupação (%)"/>
    <tableColumn id="10" name="Tempo Médio de Atendimento (min)"/>
  </tableColumns>
</table>
</file>

<file path=xl/tables/table2.xml><?xml version="1.0" encoding="utf-8"?>
<table xmlns="http://schemas.openxmlformats.org/spreadsheetml/2006/main" id="2" name="Tbl_Unidade01_Bruto" displayName="Tbl_Unidade01_Bruto" ref="A3:D15" headerRowCount="1" totalsRowCount="0" totalsRowShown="0">
  <autoFilter ref="A3:D15"/>
  <tableColumns count="4">
    <tableColumn id="1" name="Mês"/>
    <tableColumn id="2" name="Qtde Atend."/>
    <tableColumn id="3" name="Fat. Bruto (R$)"/>
    <tableColumn id="4" name="Glosa (R$)"/>
  </tableColumns>
</table>
</file>

<file path=xl/tables/table3.xml><?xml version="1.0" encoding="utf-8"?>
<table xmlns="http://schemas.openxmlformats.org/spreadsheetml/2006/main" id="3" name="Tbl_Unidade02_Bruto" displayName="Tbl_Unidade02_Bruto" ref="A3:E15" headerRowCount="1" totalsRowCount="0" totalsRowShown="0">
  <autoFilter ref="A3:E15"/>
  <tableColumns count="5">
    <tableColumn id="1" name="Competencia"/>
    <tableColumn id="2" name="Atendimentos"/>
    <tableColumn id="3" name="Receita"/>
    <tableColumn id="4" name="Custos"/>
    <tableColumn id="5" name="Ocupacao (%)"/>
  </tableColumns>
</table>
</file>

<file path=xl/tables/table4.xml><?xml version="1.0" encoding="utf-8"?>
<table xmlns="http://schemas.openxmlformats.org/spreadsheetml/2006/main" id="4" name="Tbl_Unidade03_Bruto" displayName="Tbl_Unidade03_Bruto" ref="A3:F15" headerRowCount="1" totalsRowCount="0" totalsRowShown="0">
  <autoFilter ref="A3:F15"/>
  <tableColumns count="6">
    <tableColumn id="1" name="Data Referência"/>
    <tableColumn id="2" name="Nº Consultas"/>
    <tableColumn id="3" name="Faturamento Bruto"/>
    <tableColumn id="4" name="Valor Glosas"/>
    <tableColumn id="5" name="Custo Operacional"/>
    <tableColumn id="6" name="Tempo Médio (min)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.75" hidden="false" customHeight="true" outlineLevel="0" collapsed="false">
      <c r="A4" s="3" t="s">
        <v>2</v>
      </c>
    </row>
    <row r="5" customFormat="false" ht="30" hidden="false" customHeight="true" outlineLevel="0" collapsed="false">
      <c r="A5" s="4" t="s">
        <v>3</v>
      </c>
    </row>
    <row r="6" customFormat="false" ht="15.75" hidden="false" customHeight="true" outlineLevel="0" collapsed="false">
      <c r="A6" s="4"/>
    </row>
    <row r="7" customFormat="false" ht="15.75" hidden="false" customHeight="true" outlineLevel="0" collapsed="false">
      <c r="A7" s="3" t="s">
        <v>4</v>
      </c>
    </row>
    <row r="8" customFormat="false" ht="30" hidden="false" customHeight="true" outlineLevel="0" collapsed="false">
      <c r="A8" s="4" t="s">
        <v>5</v>
      </c>
    </row>
    <row r="9" customFormat="false" ht="30" hidden="false" customHeight="true" outlineLevel="0" collapsed="false">
      <c r="A9" s="4" t="s">
        <v>6</v>
      </c>
    </row>
    <row r="10" customFormat="false" ht="30" hidden="false" customHeight="true" outlineLevel="0" collapsed="false">
      <c r="A10" s="4" t="s">
        <v>7</v>
      </c>
    </row>
    <row r="11" customFormat="false" ht="15.75" hidden="false" customHeight="true" outlineLevel="0" collapsed="false">
      <c r="A11" s="4"/>
    </row>
    <row r="12" customFormat="false" ht="15.75" hidden="false" customHeight="true" outlineLevel="0" collapsed="false">
      <c r="A12" s="3" t="s">
        <v>8</v>
      </c>
    </row>
    <row r="13" customFormat="false" ht="30" hidden="false" customHeight="true" outlineLevel="0" collapsed="false">
      <c r="A13" s="4" t="s">
        <v>9</v>
      </c>
    </row>
    <row r="14" customFormat="false" ht="15.75" hidden="false" customHeight="true" outlineLevel="0" collapsed="false">
      <c r="A14" s="4"/>
    </row>
    <row r="15" customFormat="false" ht="15.75" hidden="false" customHeight="true" outlineLevel="0" collapsed="false">
      <c r="A15" s="3" t="s">
        <v>10</v>
      </c>
    </row>
    <row r="16" customFormat="false" ht="30" hidden="false" customHeight="true" outlineLevel="0" collapsed="false">
      <c r="A16" s="4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2" t="s">
        <v>12</v>
      </c>
    </row>
    <row r="3" customFormat="false" ht="15" hidden="false" customHeight="false" outlineLevel="0" collapsed="false">
      <c r="A3" s="5" t="s">
        <v>13</v>
      </c>
      <c r="B3" s="5" t="s">
        <v>14</v>
      </c>
      <c r="C3" s="5" t="s">
        <v>15</v>
      </c>
      <c r="D3" s="5" t="s">
        <v>16</v>
      </c>
    </row>
    <row r="4" customFormat="false" ht="15" hidden="false" customHeight="false" outlineLevel="0" collapsed="false">
      <c r="A4" s="6" t="s">
        <v>17</v>
      </c>
      <c r="B4" s="6" t="n">
        <v>2654</v>
      </c>
      <c r="C4" s="6" t="n">
        <v>594508.45</v>
      </c>
      <c r="D4" s="6" t="n">
        <v>25797.29</v>
      </c>
    </row>
    <row r="5" customFormat="false" ht="15" hidden="false" customHeight="false" outlineLevel="0" collapsed="false">
      <c r="A5" s="6" t="s">
        <v>18</v>
      </c>
      <c r="B5" s="6" t="n">
        <v>2405</v>
      </c>
      <c r="C5" s="6" t="n">
        <v>444365.97</v>
      </c>
      <c r="D5" s="6" t="n">
        <v>19160.3</v>
      </c>
    </row>
    <row r="6" customFormat="false" ht="15" hidden="false" customHeight="false" outlineLevel="0" collapsed="false">
      <c r="A6" s="6" t="s">
        <v>19</v>
      </c>
      <c r="B6" s="6" t="n">
        <v>2677</v>
      </c>
      <c r="C6" s="6" t="n">
        <v>576279.13</v>
      </c>
      <c r="D6" s="6" t="n">
        <v>37663.26</v>
      </c>
    </row>
    <row r="7" customFormat="false" ht="15" hidden="false" customHeight="false" outlineLevel="0" collapsed="false">
      <c r="A7" s="6" t="s">
        <v>20</v>
      </c>
      <c r="B7" s="6" t="n">
        <v>2631</v>
      </c>
      <c r="C7" s="6" t="n">
        <v>539030.65</v>
      </c>
      <c r="D7" s="6" t="n">
        <v>47128.95</v>
      </c>
    </row>
    <row r="8" customFormat="false" ht="15" hidden="false" customHeight="false" outlineLevel="0" collapsed="false">
      <c r="A8" s="6" t="s">
        <v>21</v>
      </c>
      <c r="B8" s="6" t="n">
        <v>2779</v>
      </c>
      <c r="C8" s="6" t="n">
        <v>859101.52</v>
      </c>
      <c r="D8" s="6" t="n">
        <v>63387.87</v>
      </c>
    </row>
    <row r="9" customFormat="false" ht="15" hidden="false" customHeight="false" outlineLevel="0" collapsed="false">
      <c r="A9" s="6" t="s">
        <v>22</v>
      </c>
      <c r="B9" s="6" t="n">
        <v>2887</v>
      </c>
      <c r="C9" s="6" t="n">
        <v>805366.64</v>
      </c>
      <c r="D9" s="6" t="n">
        <v>65800.4</v>
      </c>
    </row>
    <row r="10" customFormat="false" ht="15" hidden="false" customHeight="false" outlineLevel="0" collapsed="false">
      <c r="A10" s="6" t="s">
        <v>23</v>
      </c>
      <c r="B10" s="6" t="n">
        <v>2424</v>
      </c>
      <c r="C10" s="6" t="n">
        <v>467266.52</v>
      </c>
      <c r="D10" s="6" t="n">
        <v>20544.52</v>
      </c>
    </row>
    <row r="11" customFormat="false" ht="15" hidden="false" customHeight="false" outlineLevel="0" collapsed="false">
      <c r="A11" s="6" t="s">
        <v>24</v>
      </c>
      <c r="B11" s="6" t="n">
        <v>2504</v>
      </c>
      <c r="C11" s="6" t="n">
        <v>534656.9</v>
      </c>
      <c r="D11" s="6" t="n">
        <v>24604.2</v>
      </c>
    </row>
    <row r="12" customFormat="false" ht="15" hidden="false" customHeight="false" outlineLevel="0" collapsed="false">
      <c r="A12" s="6" t="s">
        <v>25</v>
      </c>
      <c r="B12" s="6" t="n">
        <v>2531</v>
      </c>
      <c r="C12" s="6" t="n">
        <v>521751.47</v>
      </c>
      <c r="D12" s="6" t="n">
        <v>27531.43</v>
      </c>
    </row>
    <row r="13" customFormat="false" ht="15" hidden="false" customHeight="false" outlineLevel="0" collapsed="false">
      <c r="A13" s="6" t="s">
        <v>26</v>
      </c>
      <c r="B13" s="6" t="n">
        <v>2787</v>
      </c>
      <c r="C13" s="6" t="n">
        <v>847693.88</v>
      </c>
      <c r="D13" s="6" t="n">
        <v>37080.58</v>
      </c>
    </row>
    <row r="14" customFormat="false" ht="15" hidden="false" customHeight="false" outlineLevel="0" collapsed="false">
      <c r="A14" s="6" t="s">
        <v>27</v>
      </c>
      <c r="B14" s="6" t="n">
        <v>2776</v>
      </c>
      <c r="C14" s="6" t="n">
        <v>888927.44</v>
      </c>
      <c r="D14" s="6" t="n">
        <v>43451.37</v>
      </c>
    </row>
    <row r="15" customFormat="false" ht="15" hidden="false" customHeight="false" outlineLevel="0" collapsed="false">
      <c r="A15" s="6" t="s">
        <v>28</v>
      </c>
      <c r="B15" s="6" t="n">
        <v>2510</v>
      </c>
      <c r="C15" s="6" t="n">
        <v>550845.61</v>
      </c>
      <c r="D15" s="6" t="n">
        <v>35079</v>
      </c>
    </row>
    <row r="17" customFormat="false" ht="15" hidden="false" customHeight="false" outlineLevel="0" collapsed="false">
      <c r="A17" s="7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4"/>
  </cols>
  <sheetData>
    <row r="1" customFormat="false" ht="15" hidden="false" customHeight="false" outlineLevel="0" collapsed="false">
      <c r="A1" s="2" t="s">
        <v>30</v>
      </c>
    </row>
    <row r="3" customFormat="false" ht="15" hidden="false" customHeight="false" outlineLevel="0" collapsed="false">
      <c r="A3" s="5" t="s">
        <v>31</v>
      </c>
      <c r="B3" s="5" t="s">
        <v>32</v>
      </c>
      <c r="C3" s="5" t="s">
        <v>33</v>
      </c>
      <c r="D3" s="5" t="s">
        <v>34</v>
      </c>
      <c r="E3" s="5" t="s">
        <v>35</v>
      </c>
    </row>
    <row r="4" customFormat="false" ht="15" hidden="false" customHeight="false" outlineLevel="0" collapsed="false">
      <c r="A4" s="6" t="s">
        <v>36</v>
      </c>
      <c r="B4" s="6" t="n">
        <v>1412</v>
      </c>
      <c r="C4" s="6" t="n">
        <v>479523.7</v>
      </c>
      <c r="D4" s="6" t="n">
        <v>272020.75</v>
      </c>
      <c r="E4" s="6" t="n">
        <v>59.8</v>
      </c>
    </row>
    <row r="5" customFormat="false" ht="15" hidden="false" customHeight="false" outlineLevel="0" collapsed="false">
      <c r="A5" s="6" t="s">
        <v>37</v>
      </c>
      <c r="B5" s="6" t="n">
        <v>1479</v>
      </c>
      <c r="C5" s="6" t="n">
        <v>366119.93</v>
      </c>
      <c r="D5" s="6" t="n">
        <v>227912.46</v>
      </c>
      <c r="E5" s="6" t="n">
        <v>95.9</v>
      </c>
    </row>
    <row r="6" customFormat="false" ht="15" hidden="false" customHeight="false" outlineLevel="0" collapsed="false">
      <c r="A6" s="6" t="s">
        <v>38</v>
      </c>
      <c r="B6" s="6" t="n">
        <v>1571</v>
      </c>
      <c r="C6" s="6" t="n">
        <v>285665.87</v>
      </c>
      <c r="D6" s="6" t="n">
        <v>194117.09</v>
      </c>
      <c r="E6" s="6" t="n">
        <v>78.4</v>
      </c>
    </row>
    <row r="7" customFormat="false" ht="15" hidden="false" customHeight="false" outlineLevel="0" collapsed="false">
      <c r="A7" s="6" t="s">
        <v>39</v>
      </c>
      <c r="B7" s="6" t="n">
        <v>1365</v>
      </c>
      <c r="C7" s="6" t="n">
        <v>340652.73</v>
      </c>
      <c r="D7" s="6" t="n">
        <v>249093.8</v>
      </c>
      <c r="E7" s="6" t="n">
        <v>91.3</v>
      </c>
    </row>
    <row r="8" customFormat="false" ht="15" hidden="false" customHeight="false" outlineLevel="0" collapsed="false">
      <c r="A8" s="6" t="s">
        <v>40</v>
      </c>
      <c r="B8" s="6" t="n">
        <v>1346</v>
      </c>
      <c r="C8" s="6" t="n">
        <v>438823.53</v>
      </c>
      <c r="D8" s="6" t="n">
        <v>266236.21</v>
      </c>
      <c r="E8" s="6" t="n">
        <v>82.3</v>
      </c>
    </row>
    <row r="9" customFormat="false" ht="15" hidden="false" customHeight="false" outlineLevel="0" collapsed="false">
      <c r="A9" s="6" t="s">
        <v>41</v>
      </c>
      <c r="B9" s="6" t="n">
        <v>1451</v>
      </c>
      <c r="C9" s="6" t="n">
        <v>386402.24</v>
      </c>
      <c r="D9" s="6" t="n">
        <v>251457.9</v>
      </c>
      <c r="E9" s="6" t="n">
        <v>58</v>
      </c>
    </row>
    <row r="10" customFormat="false" ht="15" hidden="false" customHeight="false" outlineLevel="0" collapsed="false">
      <c r="A10" s="6" t="s">
        <v>42</v>
      </c>
      <c r="B10" s="6" t="n">
        <v>1359</v>
      </c>
      <c r="C10" s="6" t="n">
        <v>435689.29</v>
      </c>
      <c r="D10" s="6" t="n">
        <v>265085.43</v>
      </c>
      <c r="E10" s="6" t="n">
        <v>60.2</v>
      </c>
    </row>
    <row r="11" customFormat="false" ht="15" hidden="false" customHeight="false" outlineLevel="0" collapsed="false">
      <c r="A11" s="6" t="s">
        <v>43</v>
      </c>
      <c r="B11" s="6" t="n">
        <v>1426</v>
      </c>
      <c r="C11" s="6" t="n">
        <v>367563.58</v>
      </c>
      <c r="D11" s="6" t="n">
        <v>255278.2</v>
      </c>
      <c r="E11" s="6" t="n">
        <v>87.1</v>
      </c>
    </row>
    <row r="12" customFormat="false" ht="15" hidden="false" customHeight="false" outlineLevel="0" collapsed="false">
      <c r="A12" s="6" t="s">
        <v>44</v>
      </c>
      <c r="B12" s="6" t="n">
        <v>1403</v>
      </c>
      <c r="C12" s="6" t="n">
        <v>312039.91</v>
      </c>
      <c r="D12" s="6" t="n">
        <v>196708.78</v>
      </c>
      <c r="E12" s="6" t="n">
        <v>66</v>
      </c>
    </row>
    <row r="13" customFormat="false" ht="15" hidden="false" customHeight="false" outlineLevel="0" collapsed="false">
      <c r="A13" s="6" t="s">
        <v>45</v>
      </c>
      <c r="B13" s="6" t="n">
        <v>1399</v>
      </c>
      <c r="C13" s="6" t="n">
        <v>321594.57</v>
      </c>
      <c r="D13" s="6" t="n">
        <v>216586.49</v>
      </c>
      <c r="E13" s="6" t="n">
        <v>74.6</v>
      </c>
    </row>
    <row r="14" customFormat="false" ht="15" hidden="false" customHeight="false" outlineLevel="0" collapsed="false">
      <c r="A14" s="6" t="s">
        <v>46</v>
      </c>
      <c r="B14" s="6" t="n">
        <v>1353</v>
      </c>
      <c r="C14" s="6" t="n">
        <v>316728.76</v>
      </c>
      <c r="D14" s="6" t="n">
        <v>188048.77</v>
      </c>
      <c r="E14" s="6" t="n">
        <v>66.4</v>
      </c>
    </row>
    <row r="15" customFormat="false" ht="15" hidden="false" customHeight="false" outlineLevel="0" collapsed="false">
      <c r="A15" s="6" t="s">
        <v>47</v>
      </c>
      <c r="B15" s="6" t="n">
        <v>1383</v>
      </c>
      <c r="C15" s="6" t="n">
        <v>449291.34</v>
      </c>
      <c r="D15" s="6" t="n">
        <v>253159</v>
      </c>
      <c r="E15" s="6" t="n">
        <v>67</v>
      </c>
    </row>
    <row r="17" customFormat="false" ht="15" hidden="false" customHeight="false" outlineLevel="0" collapsed="false">
      <c r="A17" s="7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6" min="5" style="0" width="16"/>
  </cols>
  <sheetData>
    <row r="1" customFormat="false" ht="15" hidden="false" customHeight="false" outlineLevel="0" collapsed="false">
      <c r="A1" s="2" t="s">
        <v>49</v>
      </c>
    </row>
    <row r="3" customFormat="false" ht="23.85" hidden="false" customHeight="false" outlineLevel="0" collapsed="false">
      <c r="A3" s="5" t="s">
        <v>50</v>
      </c>
      <c r="B3" s="5" t="s">
        <v>51</v>
      </c>
      <c r="C3" s="5" t="s">
        <v>52</v>
      </c>
      <c r="D3" s="5" t="s">
        <v>53</v>
      </c>
      <c r="E3" s="5" t="s">
        <v>54</v>
      </c>
      <c r="F3" s="5" t="s">
        <v>55</v>
      </c>
    </row>
    <row r="4" customFormat="false" ht="15" hidden="false" customHeight="false" outlineLevel="0" collapsed="false">
      <c r="A4" s="8" t="n">
        <v>45658</v>
      </c>
      <c r="B4" s="6" t="n">
        <v>1842</v>
      </c>
      <c r="C4" s="6" t="n">
        <v>607274.76</v>
      </c>
      <c r="D4" s="6" t="n">
        <v>39025.05</v>
      </c>
      <c r="E4" s="6" t="n">
        <v>388538.94</v>
      </c>
      <c r="F4" s="6" t="n">
        <v>39</v>
      </c>
    </row>
    <row r="5" customFormat="false" ht="15" hidden="false" customHeight="false" outlineLevel="0" collapsed="false">
      <c r="A5" s="8" t="n">
        <v>45689</v>
      </c>
      <c r="B5" s="6" t="n">
        <v>1719</v>
      </c>
      <c r="C5" s="6" t="n">
        <v>427976.32</v>
      </c>
      <c r="D5" s="6" t="n">
        <v>23716.19</v>
      </c>
      <c r="E5" s="6" t="n">
        <v>273363.32</v>
      </c>
      <c r="F5" s="6" t="n">
        <v>35.5</v>
      </c>
    </row>
    <row r="6" customFormat="false" ht="15" hidden="false" customHeight="false" outlineLevel="0" collapsed="false">
      <c r="A6" s="8" t="n">
        <v>45717</v>
      </c>
      <c r="B6" s="6" t="n">
        <v>1949</v>
      </c>
      <c r="C6" s="6" t="n">
        <v>476373.42</v>
      </c>
      <c r="D6" s="6" t="n">
        <v>23989.29</v>
      </c>
      <c r="E6" s="6" t="n">
        <v>339996.18</v>
      </c>
      <c r="F6" s="6" t="n">
        <v>22.9</v>
      </c>
    </row>
    <row r="7" customFormat="false" ht="15" hidden="false" customHeight="false" outlineLevel="0" collapsed="false">
      <c r="A7" s="8" t="n">
        <v>45748</v>
      </c>
      <c r="B7" s="6" t="n">
        <v>1867</v>
      </c>
      <c r="C7" s="6" t="n">
        <v>419267.01</v>
      </c>
      <c r="D7" s="6" t="n">
        <v>18862.15</v>
      </c>
      <c r="E7" s="6" t="n">
        <v>304144.87</v>
      </c>
      <c r="F7" s="6" t="n">
        <v>40.4</v>
      </c>
    </row>
    <row r="8" customFormat="false" ht="15" hidden="false" customHeight="false" outlineLevel="0" collapsed="false">
      <c r="A8" s="8" t="n">
        <v>45778</v>
      </c>
      <c r="B8" s="6" t="n">
        <v>1812</v>
      </c>
      <c r="C8" s="6" t="n">
        <v>615871.97</v>
      </c>
      <c r="D8" s="6" t="n">
        <v>49369.32</v>
      </c>
      <c r="E8" s="6" t="n">
        <v>452117.33</v>
      </c>
      <c r="F8" s="6" t="n">
        <v>40.1</v>
      </c>
    </row>
    <row r="9" customFormat="false" ht="15" hidden="false" customHeight="false" outlineLevel="0" collapsed="false">
      <c r="A9" s="8" t="n">
        <v>45809</v>
      </c>
      <c r="B9" s="6" t="n">
        <v>1909</v>
      </c>
      <c r="C9" s="6" t="n">
        <v>408906.98</v>
      </c>
      <c r="D9" s="6" t="n">
        <v>22106.5</v>
      </c>
      <c r="E9" s="6" t="n">
        <v>229454.36</v>
      </c>
      <c r="F9" s="6" t="n">
        <v>43.6</v>
      </c>
    </row>
    <row r="10" customFormat="false" ht="15" hidden="false" customHeight="false" outlineLevel="0" collapsed="false">
      <c r="A10" s="8" t="n">
        <v>45839</v>
      </c>
      <c r="B10" s="6" t="n">
        <v>1891</v>
      </c>
      <c r="C10" s="6" t="n">
        <v>478047.33</v>
      </c>
      <c r="D10" s="6" t="n">
        <v>26474.48</v>
      </c>
      <c r="E10" s="6" t="n">
        <v>349878.23</v>
      </c>
      <c r="F10" s="6" t="n">
        <v>32.4</v>
      </c>
    </row>
    <row r="11" customFormat="false" ht="15" hidden="false" customHeight="false" outlineLevel="0" collapsed="false">
      <c r="A11" s="8" t="n">
        <v>45870</v>
      </c>
      <c r="B11" s="6" t="n">
        <v>1885</v>
      </c>
      <c r="C11" s="6" t="n">
        <v>428787.08</v>
      </c>
      <c r="D11" s="6" t="n">
        <v>37785.82</v>
      </c>
      <c r="E11" s="6" t="n">
        <v>283018.45</v>
      </c>
      <c r="F11" s="6" t="n">
        <v>37.4</v>
      </c>
    </row>
    <row r="12" customFormat="false" ht="15" hidden="false" customHeight="false" outlineLevel="0" collapsed="false">
      <c r="A12" s="8" t="n">
        <v>45901</v>
      </c>
      <c r="B12" s="6" t="n">
        <v>1783</v>
      </c>
      <c r="C12" s="6" t="n">
        <v>464393.16</v>
      </c>
      <c r="D12" s="6" t="n">
        <v>37691.63</v>
      </c>
      <c r="E12" s="6" t="n">
        <v>269307.27</v>
      </c>
      <c r="F12" s="6" t="n">
        <v>20.1</v>
      </c>
    </row>
    <row r="13" customFormat="false" ht="15" hidden="false" customHeight="false" outlineLevel="0" collapsed="false">
      <c r="A13" s="8" t="n">
        <v>45931</v>
      </c>
      <c r="B13" s="6" t="n">
        <v>1825</v>
      </c>
      <c r="C13" s="6" t="n">
        <v>525662.07</v>
      </c>
      <c r="D13" s="6" t="n">
        <v>23188.13</v>
      </c>
      <c r="E13" s="6" t="n">
        <v>301087.91</v>
      </c>
      <c r="F13" s="6" t="n">
        <v>24.4</v>
      </c>
    </row>
    <row r="14" customFormat="false" ht="15" hidden="false" customHeight="false" outlineLevel="0" collapsed="false">
      <c r="A14" s="8" t="n">
        <v>45962</v>
      </c>
      <c r="B14" s="6" t="n">
        <v>2072</v>
      </c>
      <c r="C14" s="6" t="n">
        <v>511941.44</v>
      </c>
      <c r="D14" s="6" t="n">
        <v>33286.61</v>
      </c>
      <c r="E14" s="6" t="n">
        <v>332418.28</v>
      </c>
      <c r="F14" s="6" t="n">
        <v>23.3</v>
      </c>
    </row>
    <row r="15" customFormat="false" ht="15" hidden="false" customHeight="false" outlineLevel="0" collapsed="false">
      <c r="A15" s="8" t="n">
        <v>45992</v>
      </c>
      <c r="B15" s="6" t="n">
        <v>1904</v>
      </c>
      <c r="C15" s="6" t="n">
        <v>463292.2</v>
      </c>
      <c r="D15" s="6" t="n">
        <v>32570.1</v>
      </c>
      <c r="E15" s="6" t="n">
        <v>281218.11</v>
      </c>
      <c r="F15" s="6" t="n">
        <v>37.5</v>
      </c>
    </row>
    <row r="17" customFormat="false" ht="15" hidden="false" customHeight="false" outlineLevel="0" collapsed="false">
      <c r="A17" s="7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6" min="5" style="0" width="1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  <col collapsed="false" customWidth="true" hidden="false" outlineLevel="0" max="10" min="10" style="0" width="16"/>
  </cols>
  <sheetData>
    <row r="1" customFormat="false" ht="15" hidden="false" customHeight="false" outlineLevel="0" collapsed="false">
      <c r="A1" s="2" t="s">
        <v>57</v>
      </c>
    </row>
    <row r="3" customFormat="false" ht="46.25" hidden="false" customHeight="false" outlineLevel="0" collapsed="false">
      <c r="A3" s="5" t="s">
        <v>58</v>
      </c>
      <c r="B3" s="5" t="s">
        <v>59</v>
      </c>
      <c r="C3" s="5" t="s">
        <v>60</v>
      </c>
      <c r="D3" s="5" t="s">
        <v>13</v>
      </c>
      <c r="E3" s="5" t="s">
        <v>61</v>
      </c>
      <c r="F3" s="5" t="s">
        <v>62</v>
      </c>
      <c r="G3" s="5" t="s">
        <v>63</v>
      </c>
      <c r="H3" s="5" t="s">
        <v>64</v>
      </c>
      <c r="I3" s="5" t="s">
        <v>65</v>
      </c>
      <c r="J3" s="5" t="s">
        <v>66</v>
      </c>
    </row>
    <row r="4" customFormat="false" ht="15" hidden="false" customHeight="false" outlineLevel="0" collapsed="false">
      <c r="A4" s="6" t="s">
        <v>67</v>
      </c>
      <c r="B4" s="9" t="n">
        <v>45658</v>
      </c>
      <c r="C4" s="6" t="n">
        <v>2025</v>
      </c>
      <c r="D4" s="6" t="s">
        <v>68</v>
      </c>
      <c r="E4" s="6" t="n">
        <v>2654</v>
      </c>
      <c r="F4" s="10" t="n">
        <v>594508.45</v>
      </c>
      <c r="G4" s="10" t="n">
        <v>25797.29</v>
      </c>
      <c r="H4" s="10" t="n">
        <v>410168.94</v>
      </c>
      <c r="I4" s="11" t="n">
        <v>0.837</v>
      </c>
      <c r="J4" s="12" t="n">
        <v>41.2</v>
      </c>
    </row>
    <row r="5" customFormat="false" ht="15" hidden="false" customHeight="false" outlineLevel="0" collapsed="false">
      <c r="A5" s="6" t="s">
        <v>67</v>
      </c>
      <c r="B5" s="9" t="n">
        <v>45689</v>
      </c>
      <c r="C5" s="6" t="n">
        <v>2025</v>
      </c>
      <c r="D5" s="6" t="s">
        <v>69</v>
      </c>
      <c r="E5" s="6" t="n">
        <v>2405</v>
      </c>
      <c r="F5" s="10" t="n">
        <v>444365.97</v>
      </c>
      <c r="G5" s="10" t="n">
        <v>19160.3</v>
      </c>
      <c r="H5" s="10" t="n">
        <v>287068.2</v>
      </c>
      <c r="I5" s="11" t="n">
        <v>0.59</v>
      </c>
      <c r="J5" s="12" t="n">
        <v>23.2</v>
      </c>
    </row>
    <row r="6" customFormat="false" ht="15" hidden="false" customHeight="false" outlineLevel="0" collapsed="false">
      <c r="A6" s="6" t="s">
        <v>67</v>
      </c>
      <c r="B6" s="9" t="n">
        <v>45717</v>
      </c>
      <c r="C6" s="6" t="n">
        <v>2025</v>
      </c>
      <c r="D6" s="6" t="s">
        <v>70</v>
      </c>
      <c r="E6" s="6" t="n">
        <v>2677</v>
      </c>
      <c r="F6" s="10" t="n">
        <v>576279.13</v>
      </c>
      <c r="G6" s="10" t="n">
        <v>37663.26</v>
      </c>
      <c r="H6" s="10" t="n">
        <v>405580.52</v>
      </c>
      <c r="I6" s="11" t="n">
        <v>0.582</v>
      </c>
      <c r="J6" s="12" t="n">
        <v>39</v>
      </c>
    </row>
    <row r="7" customFormat="false" ht="15" hidden="false" customHeight="false" outlineLevel="0" collapsed="false">
      <c r="A7" s="6" t="s">
        <v>67</v>
      </c>
      <c r="B7" s="9" t="n">
        <v>45748</v>
      </c>
      <c r="C7" s="6" t="n">
        <v>2025</v>
      </c>
      <c r="D7" s="6" t="s">
        <v>71</v>
      </c>
      <c r="E7" s="6" t="n">
        <v>2631</v>
      </c>
      <c r="F7" s="10" t="n">
        <v>539030.65</v>
      </c>
      <c r="G7" s="10" t="n">
        <v>47128.95</v>
      </c>
      <c r="H7" s="10" t="n">
        <v>330939.47</v>
      </c>
      <c r="I7" s="11" t="n">
        <v>0.615</v>
      </c>
      <c r="J7" s="12" t="n">
        <v>20.5</v>
      </c>
    </row>
    <row r="8" customFormat="false" ht="15" hidden="false" customHeight="false" outlineLevel="0" collapsed="false">
      <c r="A8" s="6" t="s">
        <v>67</v>
      </c>
      <c r="B8" s="9" t="n">
        <v>45778</v>
      </c>
      <c r="C8" s="6" t="n">
        <v>2025</v>
      </c>
      <c r="D8" s="6" t="s">
        <v>72</v>
      </c>
      <c r="E8" s="6" t="n">
        <v>2779</v>
      </c>
      <c r="F8" s="10" t="n">
        <v>859101.52</v>
      </c>
      <c r="G8" s="10" t="n">
        <v>63387.87</v>
      </c>
      <c r="H8" s="10" t="n">
        <v>560033.97</v>
      </c>
      <c r="I8" s="11" t="n">
        <v>0.95</v>
      </c>
      <c r="J8" s="12" t="n">
        <v>27.8</v>
      </c>
    </row>
    <row r="9" customFormat="false" ht="15" hidden="false" customHeight="false" outlineLevel="0" collapsed="false">
      <c r="A9" s="6" t="s">
        <v>67</v>
      </c>
      <c r="B9" s="9" t="n">
        <v>45809</v>
      </c>
      <c r="C9" s="6" t="n">
        <v>2025</v>
      </c>
      <c r="D9" s="6" t="s">
        <v>73</v>
      </c>
      <c r="E9" s="6" t="n">
        <v>2887</v>
      </c>
      <c r="F9" s="10" t="n">
        <v>805366.64</v>
      </c>
      <c r="G9" s="10" t="n">
        <v>65800.4</v>
      </c>
      <c r="H9" s="10" t="n">
        <v>531297.88</v>
      </c>
      <c r="I9" s="11" t="n">
        <v>0.848</v>
      </c>
      <c r="J9" s="12" t="n">
        <v>19.2</v>
      </c>
    </row>
    <row r="10" customFormat="false" ht="15" hidden="false" customHeight="false" outlineLevel="0" collapsed="false">
      <c r="A10" s="6" t="s">
        <v>67</v>
      </c>
      <c r="B10" s="9" t="n">
        <v>45839</v>
      </c>
      <c r="C10" s="6" t="n">
        <v>2025</v>
      </c>
      <c r="D10" s="6" t="s">
        <v>74</v>
      </c>
      <c r="E10" s="6" t="n">
        <v>2424</v>
      </c>
      <c r="F10" s="10" t="n">
        <v>467266.52</v>
      </c>
      <c r="G10" s="10" t="n">
        <v>20544.52</v>
      </c>
      <c r="H10" s="10" t="n">
        <v>265963.56</v>
      </c>
      <c r="I10" s="11" t="n">
        <v>0.686</v>
      </c>
      <c r="J10" s="12" t="n">
        <v>34.5</v>
      </c>
    </row>
    <row r="11" customFormat="false" ht="15" hidden="false" customHeight="false" outlineLevel="0" collapsed="false">
      <c r="A11" s="6" t="s">
        <v>67</v>
      </c>
      <c r="B11" s="9" t="n">
        <v>45870</v>
      </c>
      <c r="C11" s="6" t="n">
        <v>2025</v>
      </c>
      <c r="D11" s="6" t="s">
        <v>75</v>
      </c>
      <c r="E11" s="6" t="n">
        <v>2504</v>
      </c>
      <c r="F11" s="10" t="n">
        <v>534656.9</v>
      </c>
      <c r="G11" s="10" t="n">
        <v>24604.2</v>
      </c>
      <c r="H11" s="10" t="n">
        <v>389211.17</v>
      </c>
      <c r="I11" s="11" t="n">
        <v>0.826</v>
      </c>
      <c r="J11" s="12" t="n">
        <v>33.8</v>
      </c>
    </row>
    <row r="12" customFormat="false" ht="15" hidden="false" customHeight="false" outlineLevel="0" collapsed="false">
      <c r="A12" s="6" t="s">
        <v>67</v>
      </c>
      <c r="B12" s="9" t="n">
        <v>45901</v>
      </c>
      <c r="C12" s="6" t="n">
        <v>2025</v>
      </c>
      <c r="D12" s="6" t="s">
        <v>76</v>
      </c>
      <c r="E12" s="6" t="n">
        <v>2531</v>
      </c>
      <c r="F12" s="10" t="n">
        <v>521751.47</v>
      </c>
      <c r="G12" s="10" t="n">
        <v>27531.43</v>
      </c>
      <c r="H12" s="10" t="n">
        <v>385057.51</v>
      </c>
      <c r="I12" s="11" t="n">
        <v>0.823</v>
      </c>
      <c r="J12" s="12" t="n">
        <v>32.5</v>
      </c>
    </row>
    <row r="13" customFormat="false" ht="15" hidden="false" customHeight="false" outlineLevel="0" collapsed="false">
      <c r="A13" s="6" t="s">
        <v>67</v>
      </c>
      <c r="B13" s="9" t="n">
        <v>45931</v>
      </c>
      <c r="C13" s="6" t="n">
        <v>2025</v>
      </c>
      <c r="D13" s="6" t="s">
        <v>77</v>
      </c>
      <c r="E13" s="6" t="n">
        <v>2787</v>
      </c>
      <c r="F13" s="10" t="n">
        <v>847693.88</v>
      </c>
      <c r="G13" s="10" t="n">
        <v>37080.58</v>
      </c>
      <c r="H13" s="10" t="n">
        <v>471401.76</v>
      </c>
      <c r="I13" s="11" t="n">
        <v>0.7</v>
      </c>
      <c r="J13" s="12" t="n">
        <v>25</v>
      </c>
    </row>
    <row r="14" customFormat="false" ht="15" hidden="false" customHeight="false" outlineLevel="0" collapsed="false">
      <c r="A14" s="6" t="s">
        <v>67</v>
      </c>
      <c r="B14" s="9" t="n">
        <v>45962</v>
      </c>
      <c r="C14" s="6" t="n">
        <v>2025</v>
      </c>
      <c r="D14" s="6" t="s">
        <v>78</v>
      </c>
      <c r="E14" s="6" t="n">
        <v>2776</v>
      </c>
      <c r="F14" s="10" t="n">
        <v>888927.44</v>
      </c>
      <c r="G14" s="10" t="n">
        <v>43451.37</v>
      </c>
      <c r="H14" s="10" t="n">
        <v>599611.2</v>
      </c>
      <c r="I14" s="11" t="n">
        <v>0.73</v>
      </c>
      <c r="J14" s="12" t="n">
        <v>41.8</v>
      </c>
    </row>
    <row r="15" customFormat="false" ht="15" hidden="false" customHeight="false" outlineLevel="0" collapsed="false">
      <c r="A15" s="6" t="s">
        <v>67</v>
      </c>
      <c r="B15" s="9" t="n">
        <v>45992</v>
      </c>
      <c r="C15" s="6" t="n">
        <v>2025</v>
      </c>
      <c r="D15" s="6" t="s">
        <v>79</v>
      </c>
      <c r="E15" s="6" t="n">
        <v>2510</v>
      </c>
      <c r="F15" s="10" t="n">
        <v>550845.61</v>
      </c>
      <c r="G15" s="10" t="n">
        <v>35079</v>
      </c>
      <c r="H15" s="10" t="n">
        <v>330463.8</v>
      </c>
      <c r="I15" s="11" t="n">
        <v>0.802</v>
      </c>
      <c r="J15" s="12" t="n">
        <v>41.3</v>
      </c>
    </row>
    <row r="16" customFormat="false" ht="15" hidden="false" customHeight="false" outlineLevel="0" collapsed="false">
      <c r="A16" s="6" t="s">
        <v>80</v>
      </c>
      <c r="B16" s="9" t="n">
        <v>45658</v>
      </c>
      <c r="C16" s="6" t="n">
        <v>2025</v>
      </c>
      <c r="D16" s="6" t="s">
        <v>68</v>
      </c>
      <c r="E16" s="6" t="n">
        <v>1412</v>
      </c>
      <c r="F16" s="10" t="n">
        <v>479523.7</v>
      </c>
      <c r="G16" s="10" t="n">
        <v>29045.51</v>
      </c>
      <c r="H16" s="10" t="n">
        <v>272020.75</v>
      </c>
      <c r="I16" s="11" t="n">
        <v>0.598</v>
      </c>
      <c r="J16" s="12" t="n">
        <v>20.9</v>
      </c>
    </row>
    <row r="17" customFormat="false" ht="15" hidden="false" customHeight="false" outlineLevel="0" collapsed="false">
      <c r="A17" s="6" t="s">
        <v>80</v>
      </c>
      <c r="B17" s="9" t="n">
        <v>45689</v>
      </c>
      <c r="C17" s="6" t="n">
        <v>2025</v>
      </c>
      <c r="D17" s="6" t="s">
        <v>69</v>
      </c>
      <c r="E17" s="6" t="n">
        <v>1479</v>
      </c>
      <c r="F17" s="10" t="n">
        <v>366119.93</v>
      </c>
      <c r="G17" s="10" t="n">
        <v>12379.12</v>
      </c>
      <c r="H17" s="10" t="n">
        <v>227912.46</v>
      </c>
      <c r="I17" s="11" t="n">
        <v>0.959</v>
      </c>
      <c r="J17" s="12" t="n">
        <v>31.8</v>
      </c>
    </row>
    <row r="18" customFormat="false" ht="15" hidden="false" customHeight="false" outlineLevel="0" collapsed="false">
      <c r="A18" s="6" t="s">
        <v>80</v>
      </c>
      <c r="B18" s="9" t="n">
        <v>45717</v>
      </c>
      <c r="C18" s="6" t="n">
        <v>2025</v>
      </c>
      <c r="D18" s="6" t="s">
        <v>70</v>
      </c>
      <c r="E18" s="6" t="n">
        <v>1571</v>
      </c>
      <c r="F18" s="10" t="n">
        <v>285665.87</v>
      </c>
      <c r="G18" s="10" t="n">
        <v>20923.11</v>
      </c>
      <c r="H18" s="10" t="n">
        <v>194117.09</v>
      </c>
      <c r="I18" s="11" t="n">
        <v>0.784</v>
      </c>
      <c r="J18" s="12" t="n">
        <v>24.9</v>
      </c>
    </row>
    <row r="19" customFormat="false" ht="15" hidden="false" customHeight="false" outlineLevel="0" collapsed="false">
      <c r="A19" s="6" t="s">
        <v>80</v>
      </c>
      <c r="B19" s="9" t="n">
        <v>45748</v>
      </c>
      <c r="C19" s="6" t="n">
        <v>2025</v>
      </c>
      <c r="D19" s="6" t="s">
        <v>71</v>
      </c>
      <c r="E19" s="6" t="n">
        <v>1365</v>
      </c>
      <c r="F19" s="10" t="n">
        <v>340652.73</v>
      </c>
      <c r="G19" s="10" t="n">
        <v>19493.32</v>
      </c>
      <c r="H19" s="10" t="n">
        <v>249093.8</v>
      </c>
      <c r="I19" s="11" t="n">
        <v>0.913</v>
      </c>
      <c r="J19" s="12" t="n">
        <v>24.8</v>
      </c>
    </row>
    <row r="20" customFormat="false" ht="15" hidden="false" customHeight="false" outlineLevel="0" collapsed="false">
      <c r="A20" s="6" t="s">
        <v>80</v>
      </c>
      <c r="B20" s="9" t="n">
        <v>45778</v>
      </c>
      <c r="C20" s="6" t="n">
        <v>2025</v>
      </c>
      <c r="D20" s="6" t="s">
        <v>72</v>
      </c>
      <c r="E20" s="6" t="n">
        <v>1346</v>
      </c>
      <c r="F20" s="10" t="n">
        <v>438823.53</v>
      </c>
      <c r="G20" s="10" t="n">
        <v>36084.95</v>
      </c>
      <c r="H20" s="10" t="n">
        <v>266236.21</v>
      </c>
      <c r="I20" s="11" t="n">
        <v>0.823</v>
      </c>
      <c r="J20" s="12" t="n">
        <v>33.8</v>
      </c>
    </row>
    <row r="21" customFormat="false" ht="15" hidden="false" customHeight="false" outlineLevel="0" collapsed="false">
      <c r="A21" s="6" t="s">
        <v>80</v>
      </c>
      <c r="B21" s="9" t="n">
        <v>45809</v>
      </c>
      <c r="C21" s="6" t="n">
        <v>2025</v>
      </c>
      <c r="D21" s="6" t="s">
        <v>73</v>
      </c>
      <c r="E21" s="6" t="n">
        <v>1451</v>
      </c>
      <c r="F21" s="10" t="n">
        <v>386402.24</v>
      </c>
      <c r="G21" s="10" t="n">
        <v>29643.85</v>
      </c>
      <c r="H21" s="10" t="n">
        <v>251457.9</v>
      </c>
      <c r="I21" s="11" t="n">
        <v>0.58</v>
      </c>
      <c r="J21" s="12" t="n">
        <v>26.4</v>
      </c>
    </row>
    <row r="22" customFormat="false" ht="15" hidden="false" customHeight="false" outlineLevel="0" collapsed="false">
      <c r="A22" s="6" t="s">
        <v>80</v>
      </c>
      <c r="B22" s="9" t="n">
        <v>45839</v>
      </c>
      <c r="C22" s="6" t="n">
        <v>2025</v>
      </c>
      <c r="D22" s="6" t="s">
        <v>74</v>
      </c>
      <c r="E22" s="6" t="n">
        <v>1359</v>
      </c>
      <c r="F22" s="10" t="n">
        <v>435689.29</v>
      </c>
      <c r="G22" s="10" t="n">
        <v>34811.54</v>
      </c>
      <c r="H22" s="10" t="n">
        <v>265085.43</v>
      </c>
      <c r="I22" s="11" t="n">
        <v>0.602</v>
      </c>
      <c r="J22" s="12" t="n">
        <v>40.8</v>
      </c>
    </row>
    <row r="23" customFormat="false" ht="15" hidden="false" customHeight="false" outlineLevel="0" collapsed="false">
      <c r="A23" s="6" t="s">
        <v>80</v>
      </c>
      <c r="B23" s="9" t="n">
        <v>45870</v>
      </c>
      <c r="C23" s="6" t="n">
        <v>2025</v>
      </c>
      <c r="D23" s="6" t="s">
        <v>75</v>
      </c>
      <c r="E23" s="6" t="n">
        <v>1426</v>
      </c>
      <c r="F23" s="10" t="n">
        <v>367563.58</v>
      </c>
      <c r="G23" s="10" t="n">
        <v>12553.31</v>
      </c>
      <c r="H23" s="10" t="n">
        <v>255278.2</v>
      </c>
      <c r="I23" s="11" t="n">
        <v>0.871</v>
      </c>
      <c r="J23" s="12" t="n">
        <v>21.3</v>
      </c>
    </row>
    <row r="24" customFormat="false" ht="15" hidden="false" customHeight="false" outlineLevel="0" collapsed="false">
      <c r="A24" s="6" t="s">
        <v>80</v>
      </c>
      <c r="B24" s="9" t="n">
        <v>45901</v>
      </c>
      <c r="C24" s="6" t="n">
        <v>2025</v>
      </c>
      <c r="D24" s="6" t="s">
        <v>76</v>
      </c>
      <c r="E24" s="6" t="n">
        <v>1403</v>
      </c>
      <c r="F24" s="10" t="n">
        <v>312039.91</v>
      </c>
      <c r="G24" s="10" t="n">
        <v>25695.23</v>
      </c>
      <c r="H24" s="10" t="n">
        <v>196708.78</v>
      </c>
      <c r="I24" s="11" t="n">
        <v>0.66</v>
      </c>
      <c r="J24" s="12" t="n">
        <v>32</v>
      </c>
    </row>
    <row r="25" customFormat="false" ht="15" hidden="false" customHeight="false" outlineLevel="0" collapsed="false">
      <c r="A25" s="6" t="s">
        <v>80</v>
      </c>
      <c r="B25" s="9" t="n">
        <v>45931</v>
      </c>
      <c r="C25" s="6" t="n">
        <v>2025</v>
      </c>
      <c r="D25" s="6" t="s">
        <v>77</v>
      </c>
      <c r="E25" s="6" t="n">
        <v>1399</v>
      </c>
      <c r="F25" s="10" t="n">
        <v>321594.57</v>
      </c>
      <c r="G25" s="10" t="n">
        <v>28849.91</v>
      </c>
      <c r="H25" s="10" t="n">
        <v>216586.49</v>
      </c>
      <c r="I25" s="11" t="n">
        <v>0.746</v>
      </c>
      <c r="J25" s="12" t="n">
        <v>31.5</v>
      </c>
    </row>
    <row r="26" customFormat="false" ht="15" hidden="false" customHeight="false" outlineLevel="0" collapsed="false">
      <c r="A26" s="6" t="s">
        <v>80</v>
      </c>
      <c r="B26" s="9" t="n">
        <v>45962</v>
      </c>
      <c r="C26" s="6" t="n">
        <v>2025</v>
      </c>
      <c r="D26" s="6" t="s">
        <v>78</v>
      </c>
      <c r="E26" s="6" t="n">
        <v>1353</v>
      </c>
      <c r="F26" s="10" t="n">
        <v>316728.76</v>
      </c>
      <c r="G26" s="10" t="n">
        <v>20681.92</v>
      </c>
      <c r="H26" s="10" t="n">
        <v>188048.77</v>
      </c>
      <c r="I26" s="11" t="n">
        <v>0.664</v>
      </c>
      <c r="J26" s="12" t="n">
        <v>19.8</v>
      </c>
    </row>
    <row r="27" customFormat="false" ht="15" hidden="false" customHeight="false" outlineLevel="0" collapsed="false">
      <c r="A27" s="6" t="s">
        <v>80</v>
      </c>
      <c r="B27" s="9" t="n">
        <v>45992</v>
      </c>
      <c r="C27" s="6" t="n">
        <v>2025</v>
      </c>
      <c r="D27" s="6" t="s">
        <v>79</v>
      </c>
      <c r="E27" s="6" t="n">
        <v>1383</v>
      </c>
      <c r="F27" s="10" t="n">
        <v>449291.34</v>
      </c>
      <c r="G27" s="10" t="n">
        <v>36652.34</v>
      </c>
      <c r="H27" s="10" t="n">
        <v>253159</v>
      </c>
      <c r="I27" s="11" t="n">
        <v>0.67</v>
      </c>
      <c r="J27" s="12" t="n">
        <v>35.4</v>
      </c>
    </row>
    <row r="28" customFormat="false" ht="15" hidden="false" customHeight="false" outlineLevel="0" collapsed="false">
      <c r="A28" s="6" t="s">
        <v>81</v>
      </c>
      <c r="B28" s="9" t="n">
        <v>45658</v>
      </c>
      <c r="C28" s="6" t="n">
        <v>2025</v>
      </c>
      <c r="D28" s="6" t="s">
        <v>68</v>
      </c>
      <c r="E28" s="6" t="n">
        <v>1842</v>
      </c>
      <c r="F28" s="10" t="n">
        <v>607274.76</v>
      </c>
      <c r="G28" s="10" t="n">
        <v>39025.05</v>
      </c>
      <c r="H28" s="10" t="n">
        <v>388538.94</v>
      </c>
      <c r="I28" s="11" t="n">
        <v>0.878</v>
      </c>
      <c r="J28" s="12" t="n">
        <v>39</v>
      </c>
    </row>
    <row r="29" customFormat="false" ht="15" hidden="false" customHeight="false" outlineLevel="0" collapsed="false">
      <c r="A29" s="6" t="s">
        <v>81</v>
      </c>
      <c r="B29" s="9" t="n">
        <v>45689</v>
      </c>
      <c r="C29" s="6" t="n">
        <v>2025</v>
      </c>
      <c r="D29" s="6" t="s">
        <v>69</v>
      </c>
      <c r="E29" s="6" t="n">
        <v>1719</v>
      </c>
      <c r="F29" s="10" t="n">
        <v>427976.32</v>
      </c>
      <c r="G29" s="10" t="n">
        <v>23716.19</v>
      </c>
      <c r="H29" s="10" t="n">
        <v>273363.32</v>
      </c>
      <c r="I29" s="11" t="n">
        <v>0.857</v>
      </c>
      <c r="J29" s="12" t="n">
        <v>35.5</v>
      </c>
    </row>
    <row r="30" customFormat="false" ht="15" hidden="false" customHeight="false" outlineLevel="0" collapsed="false">
      <c r="A30" s="6" t="s">
        <v>81</v>
      </c>
      <c r="B30" s="9" t="n">
        <v>45717</v>
      </c>
      <c r="C30" s="6" t="n">
        <v>2025</v>
      </c>
      <c r="D30" s="6" t="s">
        <v>70</v>
      </c>
      <c r="E30" s="6" t="n">
        <v>1949</v>
      </c>
      <c r="F30" s="10" t="n">
        <v>476373.42</v>
      </c>
      <c r="G30" s="10" t="n">
        <v>23989.29</v>
      </c>
      <c r="H30" s="10" t="n">
        <v>339996.18</v>
      </c>
      <c r="I30" s="11" t="n">
        <v>0.674</v>
      </c>
      <c r="J30" s="12" t="n">
        <v>22.9</v>
      </c>
    </row>
    <row r="31" customFormat="false" ht="15" hidden="false" customHeight="false" outlineLevel="0" collapsed="false">
      <c r="A31" s="6" t="s">
        <v>81</v>
      </c>
      <c r="B31" s="9" t="n">
        <v>45748</v>
      </c>
      <c r="C31" s="6" t="n">
        <v>2025</v>
      </c>
      <c r="D31" s="6" t="s">
        <v>71</v>
      </c>
      <c r="E31" s="6" t="n">
        <v>1867</v>
      </c>
      <c r="F31" s="10" t="n">
        <v>419267.01</v>
      </c>
      <c r="G31" s="10" t="n">
        <v>18862.15</v>
      </c>
      <c r="H31" s="10" t="n">
        <v>304144.87</v>
      </c>
      <c r="I31" s="11" t="n">
        <v>0.748</v>
      </c>
      <c r="J31" s="12" t="n">
        <v>40.4</v>
      </c>
    </row>
    <row r="32" customFormat="false" ht="15" hidden="false" customHeight="false" outlineLevel="0" collapsed="false">
      <c r="A32" s="6" t="s">
        <v>81</v>
      </c>
      <c r="B32" s="9" t="n">
        <v>45778</v>
      </c>
      <c r="C32" s="6" t="n">
        <v>2025</v>
      </c>
      <c r="D32" s="6" t="s">
        <v>72</v>
      </c>
      <c r="E32" s="6" t="n">
        <v>1812</v>
      </c>
      <c r="F32" s="10" t="n">
        <v>615871.97</v>
      </c>
      <c r="G32" s="10" t="n">
        <v>49369.32</v>
      </c>
      <c r="H32" s="10" t="n">
        <v>452117.33</v>
      </c>
      <c r="I32" s="11" t="n">
        <v>0.932</v>
      </c>
      <c r="J32" s="12" t="n">
        <v>40.1</v>
      </c>
    </row>
    <row r="33" customFormat="false" ht="15" hidden="false" customHeight="false" outlineLevel="0" collapsed="false">
      <c r="A33" s="6" t="s">
        <v>81</v>
      </c>
      <c r="B33" s="9" t="n">
        <v>45809</v>
      </c>
      <c r="C33" s="6" t="n">
        <v>2025</v>
      </c>
      <c r="D33" s="6" t="s">
        <v>73</v>
      </c>
      <c r="E33" s="6" t="n">
        <v>1909</v>
      </c>
      <c r="F33" s="10" t="n">
        <v>408906.98</v>
      </c>
      <c r="G33" s="10" t="n">
        <v>22106.5</v>
      </c>
      <c r="H33" s="10" t="n">
        <v>229454.36</v>
      </c>
      <c r="I33" s="11" t="n">
        <v>0.724</v>
      </c>
      <c r="J33" s="12" t="n">
        <v>43.6</v>
      </c>
    </row>
    <row r="34" customFormat="false" ht="15" hidden="false" customHeight="false" outlineLevel="0" collapsed="false">
      <c r="A34" s="6" t="s">
        <v>81</v>
      </c>
      <c r="B34" s="9" t="n">
        <v>45839</v>
      </c>
      <c r="C34" s="6" t="n">
        <v>2025</v>
      </c>
      <c r="D34" s="6" t="s">
        <v>74</v>
      </c>
      <c r="E34" s="6" t="n">
        <v>1891</v>
      </c>
      <c r="F34" s="10" t="n">
        <v>478047.33</v>
      </c>
      <c r="G34" s="10" t="n">
        <v>26474.48</v>
      </c>
      <c r="H34" s="10" t="n">
        <v>349878.23</v>
      </c>
      <c r="I34" s="11" t="n">
        <v>0.958</v>
      </c>
      <c r="J34" s="12" t="n">
        <v>32.4</v>
      </c>
    </row>
    <row r="35" customFormat="false" ht="15" hidden="false" customHeight="false" outlineLevel="0" collapsed="false">
      <c r="A35" s="6" t="s">
        <v>81</v>
      </c>
      <c r="B35" s="9" t="n">
        <v>45870</v>
      </c>
      <c r="C35" s="6" t="n">
        <v>2025</v>
      </c>
      <c r="D35" s="6" t="s">
        <v>75</v>
      </c>
      <c r="E35" s="6" t="n">
        <v>1885</v>
      </c>
      <c r="F35" s="10" t="n">
        <v>428787.08</v>
      </c>
      <c r="G35" s="10" t="n">
        <v>37785.82</v>
      </c>
      <c r="H35" s="10" t="n">
        <v>283018.45</v>
      </c>
      <c r="I35" s="11" t="n">
        <v>0.786</v>
      </c>
      <c r="J35" s="12" t="n">
        <v>37.4</v>
      </c>
    </row>
    <row r="36" customFormat="false" ht="15" hidden="false" customHeight="false" outlineLevel="0" collapsed="false">
      <c r="A36" s="6" t="s">
        <v>81</v>
      </c>
      <c r="B36" s="9" t="n">
        <v>45901</v>
      </c>
      <c r="C36" s="6" t="n">
        <v>2025</v>
      </c>
      <c r="D36" s="6" t="s">
        <v>76</v>
      </c>
      <c r="E36" s="6" t="n">
        <v>1783</v>
      </c>
      <c r="F36" s="10" t="n">
        <v>464393.16</v>
      </c>
      <c r="G36" s="10" t="n">
        <v>37691.63</v>
      </c>
      <c r="H36" s="10" t="n">
        <v>269307.27</v>
      </c>
      <c r="I36" s="11" t="n">
        <v>0.945</v>
      </c>
      <c r="J36" s="12" t="n">
        <v>20.1</v>
      </c>
    </row>
    <row r="37" customFormat="false" ht="15" hidden="false" customHeight="false" outlineLevel="0" collapsed="false">
      <c r="A37" s="6" t="s">
        <v>81</v>
      </c>
      <c r="B37" s="9" t="n">
        <v>45931</v>
      </c>
      <c r="C37" s="6" t="n">
        <v>2025</v>
      </c>
      <c r="D37" s="6" t="s">
        <v>77</v>
      </c>
      <c r="E37" s="6" t="n">
        <v>1825</v>
      </c>
      <c r="F37" s="10" t="n">
        <v>525662.07</v>
      </c>
      <c r="G37" s="10" t="n">
        <v>23188.13</v>
      </c>
      <c r="H37" s="10" t="n">
        <v>301087.91</v>
      </c>
      <c r="I37" s="11" t="n">
        <v>0.918</v>
      </c>
      <c r="J37" s="12" t="n">
        <v>24.4</v>
      </c>
    </row>
    <row r="38" customFormat="false" ht="15" hidden="false" customHeight="false" outlineLevel="0" collapsed="false">
      <c r="A38" s="6" t="s">
        <v>81</v>
      </c>
      <c r="B38" s="9" t="n">
        <v>45962</v>
      </c>
      <c r="C38" s="6" t="n">
        <v>2025</v>
      </c>
      <c r="D38" s="6" t="s">
        <v>78</v>
      </c>
      <c r="E38" s="6" t="n">
        <v>2072</v>
      </c>
      <c r="F38" s="10" t="n">
        <v>511941.44</v>
      </c>
      <c r="G38" s="10" t="n">
        <v>33286.61</v>
      </c>
      <c r="H38" s="10" t="n">
        <v>332418.28</v>
      </c>
      <c r="I38" s="11" t="n">
        <v>0.935</v>
      </c>
      <c r="J38" s="12" t="n">
        <v>23.3</v>
      </c>
    </row>
    <row r="39" customFormat="false" ht="15" hidden="false" customHeight="false" outlineLevel="0" collapsed="false">
      <c r="A39" s="6" t="s">
        <v>81</v>
      </c>
      <c r="B39" s="9" t="n">
        <v>45992</v>
      </c>
      <c r="C39" s="6" t="n">
        <v>2025</v>
      </c>
      <c r="D39" s="6" t="s">
        <v>79</v>
      </c>
      <c r="E39" s="6" t="n">
        <v>1904</v>
      </c>
      <c r="F39" s="10" t="n">
        <v>463292.2</v>
      </c>
      <c r="G39" s="10" t="n">
        <v>32570.1</v>
      </c>
      <c r="H39" s="10" t="n">
        <v>281218.11</v>
      </c>
      <c r="I39" s="11" t="n">
        <v>0.7</v>
      </c>
      <c r="J39" s="12" t="n">
        <v>37.5</v>
      </c>
    </row>
    <row r="40" customFormat="false" ht="15" hidden="false" customHeight="false" outlineLevel="0" collapsed="false">
      <c r="A40" s="6" t="s">
        <v>82</v>
      </c>
      <c r="B40" s="9" t="n">
        <v>45658</v>
      </c>
      <c r="C40" s="6" t="n">
        <v>2025</v>
      </c>
      <c r="D40" s="6" t="s">
        <v>68</v>
      </c>
      <c r="E40" s="6" t="n">
        <v>3059</v>
      </c>
      <c r="F40" s="10" t="n">
        <v>1039303.54</v>
      </c>
      <c r="G40" s="10" t="n">
        <v>93293.9</v>
      </c>
      <c r="H40" s="10" t="n">
        <v>586083.57</v>
      </c>
      <c r="I40" s="11" t="n">
        <v>0.661</v>
      </c>
      <c r="J40" s="12" t="n">
        <v>24.9</v>
      </c>
    </row>
    <row r="41" customFormat="false" ht="15" hidden="false" customHeight="false" outlineLevel="0" collapsed="false">
      <c r="A41" s="6" t="s">
        <v>82</v>
      </c>
      <c r="B41" s="9" t="n">
        <v>45689</v>
      </c>
      <c r="C41" s="6" t="n">
        <v>2025</v>
      </c>
      <c r="D41" s="6" t="s">
        <v>69</v>
      </c>
      <c r="E41" s="6" t="n">
        <v>3466</v>
      </c>
      <c r="F41" s="10" t="n">
        <v>1111488.11</v>
      </c>
      <c r="G41" s="10" t="n">
        <v>57988.14</v>
      </c>
      <c r="H41" s="10" t="n">
        <v>644631.87</v>
      </c>
      <c r="I41" s="11" t="n">
        <v>0.897</v>
      </c>
      <c r="J41" s="12" t="n">
        <v>36.3</v>
      </c>
    </row>
    <row r="42" customFormat="false" ht="15" hidden="false" customHeight="false" outlineLevel="0" collapsed="false">
      <c r="A42" s="6" t="s">
        <v>82</v>
      </c>
      <c r="B42" s="9" t="n">
        <v>45717</v>
      </c>
      <c r="C42" s="6" t="n">
        <v>2025</v>
      </c>
      <c r="D42" s="6" t="s">
        <v>70</v>
      </c>
      <c r="E42" s="6" t="n">
        <v>3340</v>
      </c>
      <c r="F42" s="10" t="n">
        <v>950684.94</v>
      </c>
      <c r="G42" s="10" t="n">
        <v>28966.79</v>
      </c>
      <c r="H42" s="10" t="n">
        <v>670470.35</v>
      </c>
      <c r="I42" s="11" t="n">
        <v>0.694</v>
      </c>
      <c r="J42" s="12" t="n">
        <v>35.2</v>
      </c>
    </row>
    <row r="43" customFormat="false" ht="15" hidden="false" customHeight="false" outlineLevel="0" collapsed="false">
      <c r="A43" s="6" t="s">
        <v>82</v>
      </c>
      <c r="B43" s="9" t="n">
        <v>45748</v>
      </c>
      <c r="C43" s="6" t="n">
        <v>2025</v>
      </c>
      <c r="D43" s="6" t="s">
        <v>71</v>
      </c>
      <c r="E43" s="6" t="n">
        <v>3172</v>
      </c>
      <c r="F43" s="10" t="n">
        <v>629542.36</v>
      </c>
      <c r="G43" s="10" t="n">
        <v>22929.29</v>
      </c>
      <c r="H43" s="10" t="n">
        <v>412421.06</v>
      </c>
      <c r="I43" s="11" t="n">
        <v>0.683</v>
      </c>
      <c r="J43" s="12" t="n">
        <v>33.7</v>
      </c>
    </row>
    <row r="44" customFormat="false" ht="15" hidden="false" customHeight="false" outlineLevel="0" collapsed="false">
      <c r="A44" s="6" t="s">
        <v>82</v>
      </c>
      <c r="B44" s="9" t="n">
        <v>45778</v>
      </c>
      <c r="C44" s="6" t="n">
        <v>2025</v>
      </c>
      <c r="D44" s="6" t="s">
        <v>72</v>
      </c>
      <c r="E44" s="6" t="n">
        <v>3094</v>
      </c>
      <c r="F44" s="10" t="n">
        <v>870893.16</v>
      </c>
      <c r="G44" s="10" t="n">
        <v>39920.9</v>
      </c>
      <c r="H44" s="10" t="n">
        <v>559828.46</v>
      </c>
      <c r="I44" s="11" t="n">
        <v>0.924</v>
      </c>
      <c r="J44" s="12" t="n">
        <v>40</v>
      </c>
    </row>
    <row r="45" customFormat="false" ht="15" hidden="false" customHeight="false" outlineLevel="0" collapsed="false">
      <c r="A45" s="6" t="s">
        <v>82</v>
      </c>
      <c r="B45" s="9" t="n">
        <v>45809</v>
      </c>
      <c r="C45" s="6" t="n">
        <v>2025</v>
      </c>
      <c r="D45" s="6" t="s">
        <v>73</v>
      </c>
      <c r="E45" s="6" t="n">
        <v>3055</v>
      </c>
      <c r="F45" s="10" t="n">
        <v>685141.29</v>
      </c>
      <c r="G45" s="10" t="n">
        <v>20700</v>
      </c>
      <c r="H45" s="10" t="n">
        <v>477209.58</v>
      </c>
      <c r="I45" s="11" t="n">
        <v>0.822</v>
      </c>
      <c r="J45" s="12" t="n">
        <v>24.8</v>
      </c>
    </row>
    <row r="46" customFormat="false" ht="15" hidden="false" customHeight="false" outlineLevel="0" collapsed="false">
      <c r="A46" s="6" t="s">
        <v>82</v>
      </c>
      <c r="B46" s="9" t="n">
        <v>45839</v>
      </c>
      <c r="C46" s="6" t="n">
        <v>2025</v>
      </c>
      <c r="D46" s="6" t="s">
        <v>74</v>
      </c>
      <c r="E46" s="6" t="n">
        <v>3240</v>
      </c>
      <c r="F46" s="10" t="n">
        <v>804912.9</v>
      </c>
      <c r="G46" s="10" t="n">
        <v>24614.38</v>
      </c>
      <c r="H46" s="10" t="n">
        <v>454209.4</v>
      </c>
      <c r="I46" s="11" t="n">
        <v>0.916</v>
      </c>
      <c r="J46" s="12" t="n">
        <v>41.5</v>
      </c>
    </row>
    <row r="47" customFormat="false" ht="15" hidden="false" customHeight="false" outlineLevel="0" collapsed="false">
      <c r="A47" s="6" t="s">
        <v>82</v>
      </c>
      <c r="B47" s="9" t="n">
        <v>45870</v>
      </c>
      <c r="C47" s="6" t="n">
        <v>2025</v>
      </c>
      <c r="D47" s="6" t="s">
        <v>75</v>
      </c>
      <c r="E47" s="6" t="n">
        <v>3248</v>
      </c>
      <c r="F47" s="10" t="n">
        <v>887358.57</v>
      </c>
      <c r="G47" s="10" t="n">
        <v>34505.49</v>
      </c>
      <c r="H47" s="10" t="n">
        <v>509534.29</v>
      </c>
      <c r="I47" s="11" t="n">
        <v>0.697</v>
      </c>
      <c r="J47" s="12" t="n">
        <v>41.4</v>
      </c>
    </row>
    <row r="48" customFormat="false" ht="15" hidden="false" customHeight="false" outlineLevel="0" collapsed="false">
      <c r="A48" s="6" t="s">
        <v>82</v>
      </c>
      <c r="B48" s="9" t="n">
        <v>45901</v>
      </c>
      <c r="C48" s="6" t="n">
        <v>2025</v>
      </c>
      <c r="D48" s="6" t="s">
        <v>76</v>
      </c>
      <c r="E48" s="6" t="n">
        <v>3387</v>
      </c>
      <c r="F48" s="10" t="n">
        <v>1096805.24</v>
      </c>
      <c r="G48" s="10" t="n">
        <v>46728.94</v>
      </c>
      <c r="H48" s="10" t="n">
        <v>655243.13</v>
      </c>
      <c r="I48" s="11" t="n">
        <v>0.619</v>
      </c>
      <c r="J48" s="12" t="n">
        <v>38.3</v>
      </c>
    </row>
    <row r="49" customFormat="false" ht="15" hidden="false" customHeight="false" outlineLevel="0" collapsed="false">
      <c r="A49" s="6" t="s">
        <v>82</v>
      </c>
      <c r="B49" s="9" t="n">
        <v>45931</v>
      </c>
      <c r="C49" s="6" t="n">
        <v>2025</v>
      </c>
      <c r="D49" s="6" t="s">
        <v>77</v>
      </c>
      <c r="E49" s="6" t="n">
        <v>3254</v>
      </c>
      <c r="F49" s="10" t="n">
        <v>908861.21</v>
      </c>
      <c r="G49" s="10" t="n">
        <v>35693.89</v>
      </c>
      <c r="H49" s="10" t="n">
        <v>660448.89</v>
      </c>
      <c r="I49" s="11" t="n">
        <v>0.909</v>
      </c>
      <c r="J49" s="12" t="n">
        <v>43.4</v>
      </c>
    </row>
    <row r="50" customFormat="false" ht="15" hidden="false" customHeight="false" outlineLevel="0" collapsed="false">
      <c r="A50" s="6" t="s">
        <v>82</v>
      </c>
      <c r="B50" s="9" t="n">
        <v>45962</v>
      </c>
      <c r="C50" s="6" t="n">
        <v>2025</v>
      </c>
      <c r="D50" s="6" t="s">
        <v>78</v>
      </c>
      <c r="E50" s="6" t="n">
        <v>3598</v>
      </c>
      <c r="F50" s="10" t="n">
        <v>661909.01</v>
      </c>
      <c r="G50" s="10" t="n">
        <v>49109.59</v>
      </c>
      <c r="H50" s="10" t="n">
        <v>405826.5</v>
      </c>
      <c r="I50" s="11" t="n">
        <v>0.934</v>
      </c>
      <c r="J50" s="12" t="n">
        <v>38.9</v>
      </c>
    </row>
    <row r="51" customFormat="false" ht="15" hidden="false" customHeight="false" outlineLevel="0" collapsed="false">
      <c r="A51" s="6" t="s">
        <v>82</v>
      </c>
      <c r="B51" s="9" t="n">
        <v>45992</v>
      </c>
      <c r="C51" s="6" t="n">
        <v>2025</v>
      </c>
      <c r="D51" s="6" t="s">
        <v>79</v>
      </c>
      <c r="E51" s="6" t="n">
        <v>3403</v>
      </c>
      <c r="F51" s="10" t="n">
        <v>757810.37</v>
      </c>
      <c r="G51" s="10" t="n">
        <v>58535.15</v>
      </c>
      <c r="H51" s="10" t="n">
        <v>432359.74</v>
      </c>
      <c r="I51" s="11" t="n">
        <v>0.911</v>
      </c>
      <c r="J51" s="12" t="n">
        <v>40.3</v>
      </c>
    </row>
    <row r="52" customFormat="false" ht="15" hidden="false" customHeight="false" outlineLevel="0" collapsed="false">
      <c r="A52" s="6" t="s">
        <v>83</v>
      </c>
      <c r="B52" s="9" t="n">
        <v>45658</v>
      </c>
      <c r="C52" s="6" t="n">
        <v>2025</v>
      </c>
      <c r="D52" s="6" t="s">
        <v>68</v>
      </c>
      <c r="E52" s="6" t="n">
        <v>1160</v>
      </c>
      <c r="F52" s="10" t="n">
        <v>294232.28</v>
      </c>
      <c r="G52" s="10" t="n">
        <v>14214.79</v>
      </c>
      <c r="H52" s="10" t="n">
        <v>206290.85</v>
      </c>
      <c r="I52" s="11" t="n">
        <v>0.666</v>
      </c>
      <c r="J52" s="12" t="n">
        <v>18.6</v>
      </c>
    </row>
    <row r="53" customFormat="false" ht="15" hidden="false" customHeight="false" outlineLevel="0" collapsed="false">
      <c r="A53" s="6" t="s">
        <v>83</v>
      </c>
      <c r="B53" s="9" t="n">
        <v>45689</v>
      </c>
      <c r="C53" s="6" t="n">
        <v>2025</v>
      </c>
      <c r="D53" s="6" t="s">
        <v>69</v>
      </c>
      <c r="E53" s="6" t="n">
        <v>1024</v>
      </c>
      <c r="F53" s="10" t="n">
        <v>325935.59</v>
      </c>
      <c r="G53" s="10" t="n">
        <v>28686.68</v>
      </c>
      <c r="H53" s="10" t="n">
        <v>196550.16</v>
      </c>
      <c r="I53" s="11" t="n">
        <v>0.824</v>
      </c>
      <c r="J53" s="12" t="n">
        <v>28.4</v>
      </c>
    </row>
    <row r="54" customFormat="false" ht="15" hidden="false" customHeight="false" outlineLevel="0" collapsed="false">
      <c r="A54" s="6" t="s">
        <v>83</v>
      </c>
      <c r="B54" s="9" t="n">
        <v>45717</v>
      </c>
      <c r="C54" s="6" t="n">
        <v>2025</v>
      </c>
      <c r="D54" s="6" t="s">
        <v>70</v>
      </c>
      <c r="E54" s="6" t="n">
        <v>1190</v>
      </c>
      <c r="F54" s="10" t="n">
        <v>393030.75</v>
      </c>
      <c r="G54" s="10" t="n">
        <v>14510.89</v>
      </c>
      <c r="H54" s="10" t="n">
        <v>288632.4</v>
      </c>
      <c r="I54" s="11" t="n">
        <v>0.648</v>
      </c>
      <c r="J54" s="12" t="n">
        <v>43</v>
      </c>
    </row>
    <row r="55" customFormat="false" ht="15" hidden="false" customHeight="false" outlineLevel="0" collapsed="false">
      <c r="A55" s="6" t="s">
        <v>83</v>
      </c>
      <c r="B55" s="9" t="n">
        <v>45748</v>
      </c>
      <c r="C55" s="6" t="n">
        <v>2025</v>
      </c>
      <c r="D55" s="6" t="s">
        <v>71</v>
      </c>
      <c r="E55" s="6" t="n">
        <v>1009</v>
      </c>
      <c r="F55" s="10" t="n">
        <v>251775.97</v>
      </c>
      <c r="G55" s="10" t="n">
        <v>18559.09</v>
      </c>
      <c r="H55" s="10" t="n">
        <v>153482.3</v>
      </c>
      <c r="I55" s="11" t="n">
        <v>0.81</v>
      </c>
      <c r="J55" s="12" t="n">
        <v>31.3</v>
      </c>
    </row>
    <row r="56" customFormat="false" ht="15" hidden="false" customHeight="false" outlineLevel="0" collapsed="false">
      <c r="A56" s="6" t="s">
        <v>83</v>
      </c>
      <c r="B56" s="9" t="n">
        <v>45778</v>
      </c>
      <c r="C56" s="6" t="n">
        <v>2025</v>
      </c>
      <c r="D56" s="6" t="s">
        <v>72</v>
      </c>
      <c r="E56" s="6" t="n">
        <v>1090</v>
      </c>
      <c r="F56" s="10" t="n">
        <v>240623.61</v>
      </c>
      <c r="G56" s="10" t="n">
        <v>17451.74</v>
      </c>
      <c r="H56" s="10" t="n">
        <v>132420.31</v>
      </c>
      <c r="I56" s="11" t="n">
        <v>0.932</v>
      </c>
      <c r="J56" s="12" t="n">
        <v>32</v>
      </c>
    </row>
    <row r="57" customFormat="false" ht="15" hidden="false" customHeight="false" outlineLevel="0" collapsed="false">
      <c r="A57" s="6" t="s">
        <v>83</v>
      </c>
      <c r="B57" s="9" t="n">
        <v>45809</v>
      </c>
      <c r="C57" s="6" t="n">
        <v>2025</v>
      </c>
      <c r="D57" s="6" t="s">
        <v>73</v>
      </c>
      <c r="E57" s="6" t="n">
        <v>1240</v>
      </c>
      <c r="F57" s="10" t="n">
        <v>356252.7</v>
      </c>
      <c r="G57" s="10" t="n">
        <v>18472.87</v>
      </c>
      <c r="H57" s="10" t="n">
        <v>200675.37</v>
      </c>
      <c r="I57" s="11" t="n">
        <v>0.832</v>
      </c>
      <c r="J57" s="12" t="n">
        <v>26.6</v>
      </c>
    </row>
    <row r="58" customFormat="false" ht="15" hidden="false" customHeight="false" outlineLevel="0" collapsed="false">
      <c r="A58" s="6" t="s">
        <v>83</v>
      </c>
      <c r="B58" s="9" t="n">
        <v>45839</v>
      </c>
      <c r="C58" s="6" t="n">
        <v>2025</v>
      </c>
      <c r="D58" s="6" t="s">
        <v>74</v>
      </c>
      <c r="E58" s="6" t="n">
        <v>1112</v>
      </c>
      <c r="F58" s="10" t="n">
        <v>328218.68</v>
      </c>
      <c r="G58" s="10" t="n">
        <v>15760.84</v>
      </c>
      <c r="H58" s="10" t="n">
        <v>199807.74</v>
      </c>
      <c r="I58" s="11" t="n">
        <v>0.735</v>
      </c>
      <c r="J58" s="12" t="n">
        <v>28.5</v>
      </c>
    </row>
    <row r="59" customFormat="false" ht="15" hidden="false" customHeight="false" outlineLevel="0" collapsed="false">
      <c r="A59" s="6" t="s">
        <v>83</v>
      </c>
      <c r="B59" s="9" t="n">
        <v>45870</v>
      </c>
      <c r="C59" s="6" t="n">
        <v>2025</v>
      </c>
      <c r="D59" s="6" t="s">
        <v>75</v>
      </c>
      <c r="E59" s="6" t="n">
        <v>1016</v>
      </c>
      <c r="F59" s="10" t="n">
        <v>251227.76</v>
      </c>
      <c r="G59" s="10" t="n">
        <v>21711.56</v>
      </c>
      <c r="H59" s="10" t="n">
        <v>170505.87</v>
      </c>
      <c r="I59" s="11" t="n">
        <v>0.923</v>
      </c>
      <c r="J59" s="12" t="n">
        <v>34</v>
      </c>
    </row>
    <row r="60" customFormat="false" ht="15" hidden="false" customHeight="false" outlineLevel="0" collapsed="false">
      <c r="A60" s="6" t="s">
        <v>83</v>
      </c>
      <c r="B60" s="9" t="n">
        <v>45901</v>
      </c>
      <c r="C60" s="6" t="n">
        <v>2025</v>
      </c>
      <c r="D60" s="6" t="s">
        <v>76</v>
      </c>
      <c r="E60" s="6" t="n">
        <v>1071</v>
      </c>
      <c r="F60" s="10" t="n">
        <v>192849.56</v>
      </c>
      <c r="G60" s="10" t="n">
        <v>9105.36</v>
      </c>
      <c r="H60" s="10" t="n">
        <v>121818.97</v>
      </c>
      <c r="I60" s="11" t="n">
        <v>0.8</v>
      </c>
      <c r="J60" s="12" t="n">
        <v>35</v>
      </c>
    </row>
    <row r="61" customFormat="false" ht="15" hidden="false" customHeight="false" outlineLevel="0" collapsed="false">
      <c r="A61" s="6" t="s">
        <v>83</v>
      </c>
      <c r="B61" s="9" t="n">
        <v>45931</v>
      </c>
      <c r="C61" s="6" t="n">
        <v>2025</v>
      </c>
      <c r="D61" s="6" t="s">
        <v>77</v>
      </c>
      <c r="E61" s="6" t="n">
        <v>1086</v>
      </c>
      <c r="F61" s="10" t="n">
        <v>232612.76</v>
      </c>
      <c r="G61" s="10" t="n">
        <v>13582.53</v>
      </c>
      <c r="H61" s="10" t="n">
        <v>167765.99</v>
      </c>
      <c r="I61" s="11" t="n">
        <v>0.882</v>
      </c>
      <c r="J61" s="12" t="n">
        <v>22.4</v>
      </c>
    </row>
    <row r="62" customFormat="false" ht="15" hidden="false" customHeight="false" outlineLevel="0" collapsed="false">
      <c r="A62" s="6" t="s">
        <v>83</v>
      </c>
      <c r="B62" s="9" t="n">
        <v>45962</v>
      </c>
      <c r="C62" s="6" t="n">
        <v>2025</v>
      </c>
      <c r="D62" s="6" t="s">
        <v>78</v>
      </c>
      <c r="E62" s="6" t="n">
        <v>1095</v>
      </c>
      <c r="F62" s="10" t="n">
        <v>307991.24</v>
      </c>
      <c r="G62" s="10" t="n">
        <v>15433.84</v>
      </c>
      <c r="H62" s="10" t="n">
        <v>217287.96</v>
      </c>
      <c r="I62" s="11" t="n">
        <v>0.865</v>
      </c>
      <c r="J62" s="12" t="n">
        <v>35.5</v>
      </c>
    </row>
    <row r="63" customFormat="false" ht="15" hidden="false" customHeight="false" outlineLevel="0" collapsed="false">
      <c r="A63" s="6" t="s">
        <v>83</v>
      </c>
      <c r="B63" s="9" t="n">
        <v>45992</v>
      </c>
      <c r="C63" s="6" t="n">
        <v>2025</v>
      </c>
      <c r="D63" s="6" t="s">
        <v>79</v>
      </c>
      <c r="E63" s="6" t="n">
        <v>1014</v>
      </c>
      <c r="F63" s="10" t="n">
        <v>186482.77</v>
      </c>
      <c r="G63" s="10" t="n">
        <v>8334.02</v>
      </c>
      <c r="H63" s="10" t="n">
        <v>119400.42</v>
      </c>
      <c r="I63" s="11" t="n">
        <v>0.903</v>
      </c>
      <c r="J63" s="12" t="n">
        <v>19.9</v>
      </c>
    </row>
    <row r="64" customFormat="false" ht="15" hidden="false" customHeight="false" outlineLevel="0" collapsed="false">
      <c r="A64" s="6" t="s">
        <v>84</v>
      </c>
      <c r="B64" s="9" t="n">
        <v>45658</v>
      </c>
      <c r="C64" s="6" t="n">
        <v>2025</v>
      </c>
      <c r="D64" s="6" t="s">
        <v>68</v>
      </c>
      <c r="E64" s="6" t="n">
        <v>2125</v>
      </c>
      <c r="F64" s="10" t="n">
        <v>448607.98</v>
      </c>
      <c r="G64" s="10" t="n">
        <v>32201.64</v>
      </c>
      <c r="H64" s="10" t="n">
        <v>288872.88</v>
      </c>
      <c r="I64" s="11" t="n">
        <v>0.673</v>
      </c>
      <c r="J64" s="12" t="n">
        <v>35.1</v>
      </c>
    </row>
    <row r="65" customFormat="false" ht="15" hidden="false" customHeight="false" outlineLevel="0" collapsed="false">
      <c r="A65" s="6" t="s">
        <v>84</v>
      </c>
      <c r="B65" s="9" t="n">
        <v>45689</v>
      </c>
      <c r="C65" s="6" t="n">
        <v>2025</v>
      </c>
      <c r="D65" s="6" t="s">
        <v>69</v>
      </c>
      <c r="E65" s="6" t="n">
        <v>1897</v>
      </c>
      <c r="F65" s="10" t="n">
        <v>575184.42</v>
      </c>
      <c r="G65" s="10" t="n">
        <v>20933.97</v>
      </c>
      <c r="H65" s="10" t="n">
        <v>362813.55</v>
      </c>
      <c r="I65" s="11" t="n">
        <v>0.647</v>
      </c>
      <c r="J65" s="12" t="n">
        <v>42.9</v>
      </c>
    </row>
    <row r="66" customFormat="false" ht="15" hidden="false" customHeight="false" outlineLevel="0" collapsed="false">
      <c r="A66" s="6" t="s">
        <v>84</v>
      </c>
      <c r="B66" s="9" t="n">
        <v>45717</v>
      </c>
      <c r="C66" s="6" t="n">
        <v>2025</v>
      </c>
      <c r="D66" s="6" t="s">
        <v>70</v>
      </c>
      <c r="E66" s="6" t="n">
        <v>1897</v>
      </c>
      <c r="F66" s="10" t="n">
        <v>417096.66</v>
      </c>
      <c r="G66" s="10" t="n">
        <v>33743.2</v>
      </c>
      <c r="H66" s="10" t="n">
        <v>265577.02</v>
      </c>
      <c r="I66" s="11" t="n">
        <v>0.885</v>
      </c>
      <c r="J66" s="12" t="n">
        <v>35.4</v>
      </c>
    </row>
    <row r="67" customFormat="false" ht="15" hidden="false" customHeight="false" outlineLevel="0" collapsed="false">
      <c r="A67" s="6" t="s">
        <v>84</v>
      </c>
      <c r="B67" s="9" t="n">
        <v>45748</v>
      </c>
      <c r="C67" s="6" t="n">
        <v>2025</v>
      </c>
      <c r="D67" s="6" t="s">
        <v>71</v>
      </c>
      <c r="E67" s="6" t="n">
        <v>2181</v>
      </c>
      <c r="F67" s="10" t="n">
        <v>724105.82</v>
      </c>
      <c r="G67" s="10" t="n">
        <v>60452.38</v>
      </c>
      <c r="H67" s="10" t="n">
        <v>482546.97</v>
      </c>
      <c r="I67" s="11" t="n">
        <v>0.853</v>
      </c>
      <c r="J67" s="12" t="n">
        <v>31.1</v>
      </c>
    </row>
    <row r="68" customFormat="false" ht="15" hidden="false" customHeight="false" outlineLevel="0" collapsed="false">
      <c r="A68" s="6" t="s">
        <v>84</v>
      </c>
      <c r="B68" s="9" t="n">
        <v>45778</v>
      </c>
      <c r="C68" s="6" t="n">
        <v>2025</v>
      </c>
      <c r="D68" s="6" t="s">
        <v>72</v>
      </c>
      <c r="E68" s="6" t="n">
        <v>2118</v>
      </c>
      <c r="F68" s="10" t="n">
        <v>685285.88</v>
      </c>
      <c r="G68" s="10" t="n">
        <v>51135.57</v>
      </c>
      <c r="H68" s="10" t="n">
        <v>438711.89</v>
      </c>
      <c r="I68" s="11" t="n">
        <v>0.678</v>
      </c>
      <c r="J68" s="12" t="n">
        <v>24.4</v>
      </c>
    </row>
    <row r="69" customFormat="false" ht="15" hidden="false" customHeight="false" outlineLevel="0" collapsed="false">
      <c r="A69" s="6" t="s">
        <v>84</v>
      </c>
      <c r="B69" s="9" t="n">
        <v>45809</v>
      </c>
      <c r="C69" s="6" t="n">
        <v>2025</v>
      </c>
      <c r="D69" s="6" t="s">
        <v>73</v>
      </c>
      <c r="E69" s="6" t="n">
        <v>2233</v>
      </c>
      <c r="F69" s="10" t="n">
        <v>588190</v>
      </c>
      <c r="G69" s="10" t="n">
        <v>39764.53</v>
      </c>
      <c r="H69" s="10" t="n">
        <v>354192.44</v>
      </c>
      <c r="I69" s="11" t="n">
        <v>0.609</v>
      </c>
      <c r="J69" s="12" t="n">
        <v>25.4</v>
      </c>
    </row>
    <row r="70" customFormat="false" ht="15" hidden="false" customHeight="false" outlineLevel="0" collapsed="false">
      <c r="A70" s="6" t="s">
        <v>84</v>
      </c>
      <c r="B70" s="9" t="n">
        <v>45839</v>
      </c>
      <c r="C70" s="6" t="n">
        <v>2025</v>
      </c>
      <c r="D70" s="6" t="s">
        <v>74</v>
      </c>
      <c r="E70" s="6" t="n">
        <v>1885</v>
      </c>
      <c r="F70" s="10" t="n">
        <v>502209.91</v>
      </c>
      <c r="G70" s="10" t="n">
        <v>19235.87</v>
      </c>
      <c r="H70" s="10" t="n">
        <v>298282.39</v>
      </c>
      <c r="I70" s="11" t="n">
        <v>0.844</v>
      </c>
      <c r="J70" s="12" t="n">
        <v>36.4</v>
      </c>
    </row>
    <row r="71" customFormat="false" ht="15" hidden="false" customHeight="false" outlineLevel="0" collapsed="false">
      <c r="A71" s="6" t="s">
        <v>84</v>
      </c>
      <c r="B71" s="9" t="n">
        <v>45870</v>
      </c>
      <c r="C71" s="6" t="n">
        <v>2025</v>
      </c>
      <c r="D71" s="6" t="s">
        <v>75</v>
      </c>
      <c r="E71" s="6" t="n">
        <v>1840</v>
      </c>
      <c r="F71" s="10" t="n">
        <v>490944.72</v>
      </c>
      <c r="G71" s="10" t="n">
        <v>26975.67</v>
      </c>
      <c r="H71" s="10" t="n">
        <v>289313</v>
      </c>
      <c r="I71" s="11" t="n">
        <v>0.74</v>
      </c>
      <c r="J71" s="12" t="n">
        <v>41.5</v>
      </c>
    </row>
    <row r="72" customFormat="false" ht="15" hidden="false" customHeight="false" outlineLevel="0" collapsed="false">
      <c r="A72" s="6" t="s">
        <v>84</v>
      </c>
      <c r="B72" s="9" t="n">
        <v>45901</v>
      </c>
      <c r="C72" s="6" t="n">
        <v>2025</v>
      </c>
      <c r="D72" s="6" t="s">
        <v>76</v>
      </c>
      <c r="E72" s="6" t="n">
        <v>2074</v>
      </c>
      <c r="F72" s="10" t="n">
        <v>657617.96</v>
      </c>
      <c r="G72" s="10" t="n">
        <v>49936.66</v>
      </c>
      <c r="H72" s="10" t="n">
        <v>409217.5</v>
      </c>
      <c r="I72" s="11" t="n">
        <v>0.582</v>
      </c>
      <c r="J72" s="12" t="n">
        <v>27.1</v>
      </c>
    </row>
    <row r="73" customFormat="false" ht="15" hidden="false" customHeight="false" outlineLevel="0" collapsed="false">
      <c r="A73" s="6" t="s">
        <v>84</v>
      </c>
      <c r="B73" s="9" t="n">
        <v>45931</v>
      </c>
      <c r="C73" s="6" t="n">
        <v>2025</v>
      </c>
      <c r="D73" s="6" t="s">
        <v>77</v>
      </c>
      <c r="E73" s="6" t="n">
        <v>2169</v>
      </c>
      <c r="F73" s="10" t="n">
        <v>721298.46</v>
      </c>
      <c r="G73" s="10" t="n">
        <v>39773.32</v>
      </c>
      <c r="H73" s="10" t="n">
        <v>499158.71</v>
      </c>
      <c r="I73" s="11" t="n">
        <v>0.788</v>
      </c>
      <c r="J73" s="12" t="n">
        <v>33.7</v>
      </c>
    </row>
    <row r="74" customFormat="false" ht="15" hidden="false" customHeight="false" outlineLevel="0" collapsed="false">
      <c r="A74" s="6" t="s">
        <v>84</v>
      </c>
      <c r="B74" s="9" t="n">
        <v>45962</v>
      </c>
      <c r="C74" s="6" t="n">
        <v>2025</v>
      </c>
      <c r="D74" s="6" t="s">
        <v>78</v>
      </c>
      <c r="E74" s="6" t="n">
        <v>1962</v>
      </c>
      <c r="F74" s="10" t="n">
        <v>489977.63</v>
      </c>
      <c r="G74" s="10" t="n">
        <v>15552.62</v>
      </c>
      <c r="H74" s="10" t="n">
        <v>300779.93</v>
      </c>
      <c r="I74" s="11" t="n">
        <v>0.838</v>
      </c>
      <c r="J74" s="12" t="n">
        <v>28.5</v>
      </c>
    </row>
    <row r="75" customFormat="false" ht="15" hidden="false" customHeight="false" outlineLevel="0" collapsed="false">
      <c r="A75" s="6" t="s">
        <v>84</v>
      </c>
      <c r="B75" s="9" t="n">
        <v>45992</v>
      </c>
      <c r="C75" s="6" t="n">
        <v>2025</v>
      </c>
      <c r="D75" s="6" t="s">
        <v>79</v>
      </c>
      <c r="E75" s="6" t="n">
        <v>1885</v>
      </c>
      <c r="F75" s="10" t="n">
        <v>377792.54</v>
      </c>
      <c r="G75" s="10" t="n">
        <v>25438.82</v>
      </c>
      <c r="H75" s="10" t="n">
        <v>209721.56</v>
      </c>
      <c r="I75" s="11" t="n">
        <v>0.73</v>
      </c>
      <c r="J75" s="12" t="n">
        <v>32.7</v>
      </c>
    </row>
    <row r="76" customFormat="false" ht="15" hidden="false" customHeight="false" outlineLevel="0" collapsed="false">
      <c r="A76" s="6" t="s">
        <v>85</v>
      </c>
      <c r="B76" s="9" t="n">
        <v>45658</v>
      </c>
      <c r="C76" s="6" t="n">
        <v>2025</v>
      </c>
      <c r="D76" s="6" t="s">
        <v>68</v>
      </c>
      <c r="E76" s="6" t="n">
        <v>901</v>
      </c>
      <c r="F76" s="10" t="n">
        <v>181742.44</v>
      </c>
      <c r="G76" s="10" t="n">
        <v>10486.89</v>
      </c>
      <c r="H76" s="10" t="n">
        <v>101694.72</v>
      </c>
      <c r="I76" s="11" t="n">
        <v>0.724</v>
      </c>
      <c r="J76" s="12" t="n">
        <v>23.5</v>
      </c>
    </row>
    <row r="77" customFormat="false" ht="15" hidden="false" customHeight="false" outlineLevel="0" collapsed="false">
      <c r="A77" s="6" t="s">
        <v>85</v>
      </c>
      <c r="B77" s="9" t="n">
        <v>45689</v>
      </c>
      <c r="C77" s="6" t="n">
        <v>2025</v>
      </c>
      <c r="D77" s="6" t="s">
        <v>69</v>
      </c>
      <c r="E77" s="6" t="n">
        <v>902</v>
      </c>
      <c r="F77" s="10" t="n">
        <v>217075.5</v>
      </c>
      <c r="G77" s="10" t="n">
        <v>16306.84</v>
      </c>
      <c r="H77" s="10" t="n">
        <v>153703.7</v>
      </c>
      <c r="I77" s="11" t="n">
        <v>0.676</v>
      </c>
      <c r="J77" s="12" t="n">
        <v>20.1</v>
      </c>
    </row>
    <row r="78" customFormat="false" ht="15" hidden="false" customHeight="false" outlineLevel="0" collapsed="false">
      <c r="A78" s="6" t="s">
        <v>85</v>
      </c>
      <c r="B78" s="9" t="n">
        <v>45717</v>
      </c>
      <c r="C78" s="6" t="n">
        <v>2025</v>
      </c>
      <c r="D78" s="6" t="s">
        <v>70</v>
      </c>
      <c r="E78" s="6" t="n">
        <v>835</v>
      </c>
      <c r="F78" s="10" t="n">
        <v>283887.69</v>
      </c>
      <c r="G78" s="10" t="n">
        <v>14477.6</v>
      </c>
      <c r="H78" s="10" t="n">
        <v>191206.13</v>
      </c>
      <c r="I78" s="11" t="n">
        <v>0.877</v>
      </c>
      <c r="J78" s="12" t="n">
        <v>34.9</v>
      </c>
    </row>
    <row r="79" customFormat="false" ht="15" hidden="false" customHeight="false" outlineLevel="0" collapsed="false">
      <c r="A79" s="6" t="s">
        <v>85</v>
      </c>
      <c r="B79" s="9" t="n">
        <v>45748</v>
      </c>
      <c r="C79" s="6" t="n">
        <v>2025</v>
      </c>
      <c r="D79" s="6" t="s">
        <v>71</v>
      </c>
      <c r="E79" s="6" t="n">
        <v>987</v>
      </c>
      <c r="F79" s="10" t="n">
        <v>209143.04</v>
      </c>
      <c r="G79" s="10" t="n">
        <v>6530.03</v>
      </c>
      <c r="H79" s="10" t="n">
        <v>121083.92</v>
      </c>
      <c r="I79" s="11" t="n">
        <v>0.628</v>
      </c>
      <c r="J79" s="12" t="n">
        <v>35.4</v>
      </c>
    </row>
    <row r="80" customFormat="false" ht="15" hidden="false" customHeight="false" outlineLevel="0" collapsed="false">
      <c r="A80" s="6" t="s">
        <v>85</v>
      </c>
      <c r="B80" s="9" t="n">
        <v>45778</v>
      </c>
      <c r="C80" s="6" t="n">
        <v>2025</v>
      </c>
      <c r="D80" s="6" t="s">
        <v>72</v>
      </c>
      <c r="E80" s="6" t="n">
        <v>878</v>
      </c>
      <c r="F80" s="10" t="n">
        <v>256300.84</v>
      </c>
      <c r="G80" s="10" t="n">
        <v>19482.42</v>
      </c>
      <c r="H80" s="10" t="n">
        <v>149136.32</v>
      </c>
      <c r="I80" s="11" t="n">
        <v>0.811</v>
      </c>
      <c r="J80" s="12" t="n">
        <v>37.4</v>
      </c>
    </row>
    <row r="81" customFormat="false" ht="15" hidden="false" customHeight="false" outlineLevel="0" collapsed="false">
      <c r="A81" s="6" t="s">
        <v>85</v>
      </c>
      <c r="B81" s="9" t="n">
        <v>45809</v>
      </c>
      <c r="C81" s="6" t="n">
        <v>2025</v>
      </c>
      <c r="D81" s="6" t="s">
        <v>73</v>
      </c>
      <c r="E81" s="6" t="n">
        <v>933</v>
      </c>
      <c r="F81" s="10" t="n">
        <v>311953.52</v>
      </c>
      <c r="G81" s="10" t="n">
        <v>11381.91</v>
      </c>
      <c r="H81" s="10" t="n">
        <v>173096.43</v>
      </c>
      <c r="I81" s="11" t="n">
        <v>0.699</v>
      </c>
      <c r="J81" s="12" t="n">
        <v>35.6</v>
      </c>
    </row>
    <row r="82" customFormat="false" ht="15" hidden="false" customHeight="false" outlineLevel="0" collapsed="false">
      <c r="A82" s="6" t="s">
        <v>85</v>
      </c>
      <c r="B82" s="9" t="n">
        <v>45839</v>
      </c>
      <c r="C82" s="6" t="n">
        <v>2025</v>
      </c>
      <c r="D82" s="6" t="s">
        <v>74</v>
      </c>
      <c r="E82" s="6" t="n">
        <v>954</v>
      </c>
      <c r="F82" s="10" t="n">
        <v>280859.84</v>
      </c>
      <c r="G82" s="10" t="n">
        <v>9706.46</v>
      </c>
      <c r="H82" s="10" t="n">
        <v>191326.42</v>
      </c>
      <c r="I82" s="11" t="n">
        <v>0.818</v>
      </c>
      <c r="J82" s="12" t="n">
        <v>20.6</v>
      </c>
    </row>
    <row r="83" customFormat="false" ht="15" hidden="false" customHeight="false" outlineLevel="0" collapsed="false">
      <c r="A83" s="6" t="s">
        <v>85</v>
      </c>
      <c r="B83" s="9" t="n">
        <v>45870</v>
      </c>
      <c r="C83" s="6" t="n">
        <v>2025</v>
      </c>
      <c r="D83" s="6" t="s">
        <v>75</v>
      </c>
      <c r="E83" s="6" t="n">
        <v>979</v>
      </c>
      <c r="F83" s="10" t="n">
        <v>270268.48</v>
      </c>
      <c r="G83" s="10" t="n">
        <v>10071.1</v>
      </c>
      <c r="H83" s="10" t="n">
        <v>199169.07</v>
      </c>
      <c r="I83" s="11" t="n">
        <v>0.877</v>
      </c>
      <c r="J83" s="12" t="n">
        <v>27</v>
      </c>
    </row>
    <row r="84" customFormat="false" ht="15" hidden="false" customHeight="false" outlineLevel="0" collapsed="false">
      <c r="A84" s="6" t="s">
        <v>85</v>
      </c>
      <c r="B84" s="9" t="n">
        <v>45901</v>
      </c>
      <c r="C84" s="6" t="n">
        <v>2025</v>
      </c>
      <c r="D84" s="6" t="s">
        <v>76</v>
      </c>
      <c r="E84" s="6" t="n">
        <v>876</v>
      </c>
      <c r="F84" s="10" t="n">
        <v>228595.46</v>
      </c>
      <c r="G84" s="10" t="n">
        <v>11538.1</v>
      </c>
      <c r="H84" s="10" t="n">
        <v>162627.24</v>
      </c>
      <c r="I84" s="11" t="n">
        <v>0.892</v>
      </c>
      <c r="J84" s="12" t="n">
        <v>20.7</v>
      </c>
    </row>
    <row r="85" customFormat="false" ht="15" hidden="false" customHeight="false" outlineLevel="0" collapsed="false">
      <c r="A85" s="6" t="s">
        <v>85</v>
      </c>
      <c r="B85" s="9" t="n">
        <v>45931</v>
      </c>
      <c r="C85" s="6" t="n">
        <v>2025</v>
      </c>
      <c r="D85" s="6" t="s">
        <v>77</v>
      </c>
      <c r="E85" s="6" t="n">
        <v>982</v>
      </c>
      <c r="F85" s="10" t="n">
        <v>306966.49</v>
      </c>
      <c r="G85" s="10" t="n">
        <v>22236.2</v>
      </c>
      <c r="H85" s="10" t="n">
        <v>194230.76</v>
      </c>
      <c r="I85" s="11" t="n">
        <v>0.859</v>
      </c>
      <c r="J85" s="12" t="n">
        <v>43.1</v>
      </c>
    </row>
    <row r="86" customFormat="false" ht="15" hidden="false" customHeight="false" outlineLevel="0" collapsed="false">
      <c r="A86" s="6" t="s">
        <v>85</v>
      </c>
      <c r="B86" s="9" t="n">
        <v>45962</v>
      </c>
      <c r="C86" s="6" t="n">
        <v>2025</v>
      </c>
      <c r="D86" s="6" t="s">
        <v>78</v>
      </c>
      <c r="E86" s="6" t="n">
        <v>955</v>
      </c>
      <c r="F86" s="10" t="n">
        <v>254132.82</v>
      </c>
      <c r="G86" s="10" t="n">
        <v>14996.34</v>
      </c>
      <c r="H86" s="10" t="n">
        <v>160804.87</v>
      </c>
      <c r="I86" s="11" t="n">
        <v>0.858</v>
      </c>
      <c r="J86" s="12" t="n">
        <v>25</v>
      </c>
    </row>
    <row r="87" customFormat="false" ht="15" hidden="false" customHeight="false" outlineLevel="0" collapsed="false">
      <c r="A87" s="6" t="s">
        <v>85</v>
      </c>
      <c r="B87" s="9" t="n">
        <v>45992</v>
      </c>
      <c r="C87" s="6" t="n">
        <v>2025</v>
      </c>
      <c r="D87" s="6" t="s">
        <v>79</v>
      </c>
      <c r="E87" s="6" t="n">
        <v>988</v>
      </c>
      <c r="F87" s="10" t="n">
        <v>191539.67</v>
      </c>
      <c r="G87" s="10" t="n">
        <v>15878.23</v>
      </c>
      <c r="H87" s="10" t="n">
        <v>114221.63</v>
      </c>
      <c r="I87" s="11" t="n">
        <v>0.757</v>
      </c>
      <c r="J87" s="12" t="n">
        <v>33.9</v>
      </c>
    </row>
    <row r="88" customFormat="false" ht="15" hidden="false" customHeight="false" outlineLevel="0" collapsed="false">
      <c r="A88" s="6" t="s">
        <v>86</v>
      </c>
      <c r="B88" s="9" t="n">
        <v>45658</v>
      </c>
      <c r="C88" s="6" t="n">
        <v>2025</v>
      </c>
      <c r="D88" s="6" t="s">
        <v>68</v>
      </c>
      <c r="E88" s="6" t="n">
        <v>2356</v>
      </c>
      <c r="F88" s="10" t="n">
        <v>744855.18</v>
      </c>
      <c r="G88" s="10" t="n">
        <v>30472.32</v>
      </c>
      <c r="H88" s="10" t="n">
        <v>439690.08</v>
      </c>
      <c r="I88" s="11" t="n">
        <v>0.883</v>
      </c>
      <c r="J88" s="12" t="n">
        <v>26.8</v>
      </c>
    </row>
    <row r="89" customFormat="false" ht="15" hidden="false" customHeight="false" outlineLevel="0" collapsed="false">
      <c r="A89" s="6" t="s">
        <v>86</v>
      </c>
      <c r="B89" s="9" t="n">
        <v>45689</v>
      </c>
      <c r="C89" s="6" t="n">
        <v>2025</v>
      </c>
      <c r="D89" s="6" t="s">
        <v>69</v>
      </c>
      <c r="E89" s="6" t="n">
        <v>2608</v>
      </c>
      <c r="F89" s="10" t="n">
        <v>584721.35</v>
      </c>
      <c r="G89" s="10" t="n">
        <v>17897.77</v>
      </c>
      <c r="H89" s="10" t="n">
        <v>426923.7</v>
      </c>
      <c r="I89" s="11" t="n">
        <v>0.613</v>
      </c>
      <c r="J89" s="12" t="n">
        <v>36.7</v>
      </c>
    </row>
    <row r="90" customFormat="false" ht="15" hidden="false" customHeight="false" outlineLevel="0" collapsed="false">
      <c r="A90" s="6" t="s">
        <v>86</v>
      </c>
      <c r="B90" s="9" t="n">
        <v>45717</v>
      </c>
      <c r="C90" s="6" t="n">
        <v>2025</v>
      </c>
      <c r="D90" s="6" t="s">
        <v>70</v>
      </c>
      <c r="E90" s="6" t="n">
        <v>2470</v>
      </c>
      <c r="F90" s="10" t="n">
        <v>717528.81</v>
      </c>
      <c r="G90" s="10" t="n">
        <v>49333.1</v>
      </c>
      <c r="H90" s="10" t="n">
        <v>461554.75</v>
      </c>
      <c r="I90" s="11" t="n">
        <v>0.881</v>
      </c>
      <c r="J90" s="12" t="n">
        <v>20.4</v>
      </c>
    </row>
    <row r="91" customFormat="false" ht="15" hidden="false" customHeight="false" outlineLevel="0" collapsed="false">
      <c r="A91" s="6" t="s">
        <v>86</v>
      </c>
      <c r="B91" s="9" t="n">
        <v>45748</v>
      </c>
      <c r="C91" s="6" t="n">
        <v>2025</v>
      </c>
      <c r="D91" s="6" t="s">
        <v>71</v>
      </c>
      <c r="E91" s="6" t="n">
        <v>2346</v>
      </c>
      <c r="F91" s="10" t="n">
        <v>537217.5</v>
      </c>
      <c r="G91" s="10" t="n">
        <v>34861.84</v>
      </c>
      <c r="H91" s="10" t="n">
        <v>343775.95</v>
      </c>
      <c r="I91" s="11" t="n">
        <v>0.782</v>
      </c>
      <c r="J91" s="12" t="n">
        <v>29.1</v>
      </c>
    </row>
    <row r="92" customFormat="false" ht="15" hidden="false" customHeight="false" outlineLevel="0" collapsed="false">
      <c r="A92" s="6" t="s">
        <v>86</v>
      </c>
      <c r="B92" s="9" t="n">
        <v>45778</v>
      </c>
      <c r="C92" s="6" t="n">
        <v>2025</v>
      </c>
      <c r="D92" s="6" t="s">
        <v>72</v>
      </c>
      <c r="E92" s="6" t="n">
        <v>2444</v>
      </c>
      <c r="F92" s="10" t="n">
        <v>714764.4</v>
      </c>
      <c r="G92" s="10" t="n">
        <v>33061.42</v>
      </c>
      <c r="H92" s="10" t="n">
        <v>427262.36</v>
      </c>
      <c r="I92" s="11" t="n">
        <v>0.626</v>
      </c>
      <c r="J92" s="12" t="n">
        <v>23</v>
      </c>
    </row>
    <row r="93" customFormat="false" ht="15" hidden="false" customHeight="false" outlineLevel="0" collapsed="false">
      <c r="A93" s="6" t="s">
        <v>86</v>
      </c>
      <c r="B93" s="9" t="n">
        <v>45809</v>
      </c>
      <c r="C93" s="6" t="n">
        <v>2025</v>
      </c>
      <c r="D93" s="6" t="s">
        <v>73</v>
      </c>
      <c r="E93" s="6" t="n">
        <v>2408</v>
      </c>
      <c r="F93" s="10" t="n">
        <v>727096.41</v>
      </c>
      <c r="G93" s="10" t="n">
        <v>29890.2</v>
      </c>
      <c r="H93" s="10" t="n">
        <v>429796.2</v>
      </c>
      <c r="I93" s="11" t="n">
        <v>0.764</v>
      </c>
      <c r="J93" s="12" t="n">
        <v>36.8</v>
      </c>
    </row>
    <row r="94" customFormat="false" ht="15" hidden="false" customHeight="false" outlineLevel="0" collapsed="false">
      <c r="A94" s="6" t="s">
        <v>86</v>
      </c>
      <c r="B94" s="9" t="n">
        <v>45839</v>
      </c>
      <c r="C94" s="6" t="n">
        <v>2025</v>
      </c>
      <c r="D94" s="6" t="s">
        <v>74</v>
      </c>
      <c r="E94" s="6" t="n">
        <v>2591</v>
      </c>
      <c r="F94" s="10" t="n">
        <v>583699.94</v>
      </c>
      <c r="G94" s="10" t="n">
        <v>21031.62</v>
      </c>
      <c r="H94" s="10" t="n">
        <v>342563.19</v>
      </c>
      <c r="I94" s="11" t="n">
        <v>0.666</v>
      </c>
      <c r="J94" s="12" t="n">
        <v>22.7</v>
      </c>
    </row>
    <row r="95" customFormat="false" ht="15" hidden="false" customHeight="false" outlineLevel="0" collapsed="false">
      <c r="A95" s="6" t="s">
        <v>86</v>
      </c>
      <c r="B95" s="9" t="n">
        <v>45870</v>
      </c>
      <c r="C95" s="6" t="n">
        <v>2025</v>
      </c>
      <c r="D95" s="6" t="s">
        <v>75</v>
      </c>
      <c r="E95" s="6" t="n">
        <v>2222</v>
      </c>
      <c r="F95" s="10" t="n">
        <v>497483.16</v>
      </c>
      <c r="G95" s="10" t="n">
        <v>44006.21</v>
      </c>
      <c r="H95" s="10" t="n">
        <v>325920.22</v>
      </c>
      <c r="I95" s="11" t="n">
        <v>0.845</v>
      </c>
      <c r="J95" s="12" t="n">
        <v>21.3</v>
      </c>
    </row>
    <row r="96" customFormat="false" ht="15" hidden="false" customHeight="false" outlineLevel="0" collapsed="false">
      <c r="A96" s="6" t="s">
        <v>86</v>
      </c>
      <c r="B96" s="9" t="n">
        <v>45901</v>
      </c>
      <c r="C96" s="6" t="n">
        <v>2025</v>
      </c>
      <c r="D96" s="6" t="s">
        <v>76</v>
      </c>
      <c r="E96" s="6" t="n">
        <v>2539</v>
      </c>
      <c r="F96" s="10" t="n">
        <v>811553.67</v>
      </c>
      <c r="G96" s="10" t="n">
        <v>52299.65</v>
      </c>
      <c r="H96" s="10" t="n">
        <v>518733.27</v>
      </c>
      <c r="I96" s="11" t="n">
        <v>0.747</v>
      </c>
      <c r="J96" s="12" t="n">
        <v>22.8</v>
      </c>
    </row>
    <row r="97" customFormat="false" ht="15" hidden="false" customHeight="false" outlineLevel="0" collapsed="false">
      <c r="A97" s="6" t="s">
        <v>86</v>
      </c>
      <c r="B97" s="9" t="n">
        <v>45931</v>
      </c>
      <c r="C97" s="6" t="n">
        <v>2025</v>
      </c>
      <c r="D97" s="6" t="s">
        <v>77</v>
      </c>
      <c r="E97" s="6" t="n">
        <v>2346</v>
      </c>
      <c r="F97" s="10" t="n">
        <v>601600.43</v>
      </c>
      <c r="G97" s="10" t="n">
        <v>47723.12</v>
      </c>
      <c r="H97" s="10" t="n">
        <v>376682.73</v>
      </c>
      <c r="I97" s="11" t="n">
        <v>0.608</v>
      </c>
      <c r="J97" s="12" t="n">
        <v>34.4</v>
      </c>
    </row>
    <row r="98" customFormat="false" ht="15" hidden="false" customHeight="false" outlineLevel="0" collapsed="false">
      <c r="A98" s="6" t="s">
        <v>86</v>
      </c>
      <c r="B98" s="9" t="n">
        <v>45962</v>
      </c>
      <c r="C98" s="6" t="n">
        <v>2025</v>
      </c>
      <c r="D98" s="6" t="s">
        <v>78</v>
      </c>
      <c r="E98" s="6" t="n">
        <v>2273</v>
      </c>
      <c r="F98" s="10" t="n">
        <v>613833.5</v>
      </c>
      <c r="G98" s="10" t="n">
        <v>29605.27</v>
      </c>
      <c r="H98" s="10" t="n">
        <v>453527.47</v>
      </c>
      <c r="I98" s="11" t="n">
        <v>0.625</v>
      </c>
      <c r="J98" s="12" t="n">
        <v>37.9</v>
      </c>
    </row>
    <row r="99" customFormat="false" ht="15" hidden="false" customHeight="false" outlineLevel="0" collapsed="false">
      <c r="A99" s="6" t="s">
        <v>86</v>
      </c>
      <c r="B99" s="9" t="n">
        <v>45992</v>
      </c>
      <c r="C99" s="6" t="n">
        <v>2025</v>
      </c>
      <c r="D99" s="6" t="s">
        <v>79</v>
      </c>
      <c r="E99" s="6" t="n">
        <v>2526</v>
      </c>
      <c r="F99" s="10" t="n">
        <v>545893.71</v>
      </c>
      <c r="G99" s="10" t="n">
        <v>33492.95</v>
      </c>
      <c r="H99" s="10" t="n">
        <v>346968.81</v>
      </c>
      <c r="I99" s="11" t="n">
        <v>0.748</v>
      </c>
      <c r="J99" s="12" t="n">
        <v>40.4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8" min="4" style="0" width="16"/>
    <col collapsed="false" customWidth="true" hidden="false" outlineLevel="0" max="9" min="9" style="0" width="14"/>
  </cols>
  <sheetData>
    <row r="1" customFormat="false" ht="15" hidden="false" customHeight="false" outlineLevel="0" collapsed="false">
      <c r="A1" s="2" t="s">
        <v>87</v>
      </c>
    </row>
    <row r="3" customFormat="false" ht="23.85" hidden="false" customHeight="false" outlineLevel="0" collapsed="false">
      <c r="A3" s="5" t="s">
        <v>58</v>
      </c>
      <c r="B3" s="5" t="s">
        <v>88</v>
      </c>
      <c r="C3" s="5" t="s">
        <v>89</v>
      </c>
      <c r="D3" s="5" t="s">
        <v>90</v>
      </c>
      <c r="E3" s="5" t="s">
        <v>91</v>
      </c>
      <c r="F3" s="5" t="s">
        <v>92</v>
      </c>
      <c r="G3" s="5" t="s">
        <v>93</v>
      </c>
      <c r="H3" s="5" t="s">
        <v>94</v>
      </c>
      <c r="I3" s="5" t="s">
        <v>55</v>
      </c>
    </row>
    <row r="4" customFormat="false" ht="15" hidden="false" customHeight="false" outlineLevel="0" collapsed="false">
      <c r="A4" s="6" t="s">
        <v>67</v>
      </c>
      <c r="B4" s="6" t="n">
        <f aca="false">SUMIFS(Base_Padronizada!$E$4:$E$99,Base_Padronizada!$A$4:$A$99,$A4)</f>
        <v>31565</v>
      </c>
      <c r="C4" s="10" t="n">
        <f aca="false">SUMIFS(Base_Padronizada!$F$4:$F$99,Base_Padronizada!$A$4:$A$99,$A4)</f>
        <v>7629794.18</v>
      </c>
      <c r="D4" s="10" t="n">
        <f aca="false">SUMIFS(Base_Padronizada!$G$4:$G$99,Base_Padronizada!$A$4:$A$99,$A4)</f>
        <v>447229.17</v>
      </c>
      <c r="E4" s="11" t="n">
        <f aca="false">IFERROR(D4/C4,0)</f>
        <v>0.0586161512943984</v>
      </c>
      <c r="F4" s="10" t="n">
        <f aca="false">SUMIFS(Base_Padronizada!$H$4:$H$99,Base_Padronizada!$A$4:$A$99,$A4)</f>
        <v>4966797.98</v>
      </c>
      <c r="G4" s="10" t="n">
        <f aca="false">C4-F4</f>
        <v>2662996.2</v>
      </c>
      <c r="H4" s="11" t="n">
        <f aca="false">AVERAGEIFS(Base_Padronizada!$I$4:$I$99,Base_Padronizada!$A$4:$A$99,$A4)</f>
        <v>0.749083333333333</v>
      </c>
      <c r="I4" s="12" t="n">
        <f aca="false">AVERAGEIFS(Base_Padronizada!$J$4:$J$99,Base_Padronizada!$A$4:$A$99,$A4)</f>
        <v>31.65</v>
      </c>
    </row>
    <row r="5" customFormat="false" ht="15" hidden="false" customHeight="false" outlineLevel="0" collapsed="false">
      <c r="A5" s="6" t="s">
        <v>80</v>
      </c>
      <c r="B5" s="6" t="n">
        <f aca="false">SUMIFS(Base_Padronizada!$E$4:$E$99,Base_Padronizada!$A$4:$A$99,$A5)</f>
        <v>16947</v>
      </c>
      <c r="C5" s="10" t="n">
        <f aca="false">SUMIFS(Base_Padronizada!$F$4:$F$99,Base_Padronizada!$A$4:$A$99,$A5)</f>
        <v>4500095.45</v>
      </c>
      <c r="D5" s="10" t="n">
        <f aca="false">SUMIFS(Base_Padronizada!$G$4:$G$99,Base_Padronizada!$A$4:$A$99,$A5)</f>
        <v>306814.11</v>
      </c>
      <c r="E5" s="11" t="n">
        <f aca="false">IFERROR(D5/C5,0)</f>
        <v>0.0681794671710797</v>
      </c>
      <c r="F5" s="10" t="n">
        <f aca="false">SUMIFS(Base_Padronizada!$H$4:$H$99,Base_Padronizada!$A$4:$A$99,$A5)</f>
        <v>2835704.88</v>
      </c>
      <c r="G5" s="10" t="n">
        <f aca="false">C5-F5</f>
        <v>1664390.57</v>
      </c>
      <c r="H5" s="11" t="n">
        <f aca="false">AVERAGEIFS(Base_Padronizada!$I$4:$I$99,Base_Padronizada!$A$4:$A$99,$A5)</f>
        <v>0.739166666666667</v>
      </c>
      <c r="I5" s="12" t="n">
        <f aca="false">AVERAGEIFS(Base_Padronizada!$J$4:$J$99,Base_Padronizada!$A$4:$A$99,$A5)</f>
        <v>28.6166666666667</v>
      </c>
    </row>
    <row r="6" customFormat="false" ht="15" hidden="false" customHeight="false" outlineLevel="0" collapsed="false">
      <c r="A6" s="6" t="s">
        <v>81</v>
      </c>
      <c r="B6" s="6" t="n">
        <f aca="false">SUMIFS(Base_Padronizada!$E$4:$E$99,Base_Padronizada!$A$4:$A$99,$A6)</f>
        <v>22458</v>
      </c>
      <c r="C6" s="10" t="n">
        <f aca="false">SUMIFS(Base_Padronizada!$F$4:$F$99,Base_Padronizada!$A$4:$A$99,$A6)</f>
        <v>5827793.74</v>
      </c>
      <c r="D6" s="10" t="n">
        <f aca="false">SUMIFS(Base_Padronizada!$G$4:$G$99,Base_Padronizada!$A$4:$A$99,$A6)</f>
        <v>368065.27</v>
      </c>
      <c r="E6" s="11" t="n">
        <f aca="false">IFERROR(D6/C6,0)</f>
        <v>0.0631568800168278</v>
      </c>
      <c r="F6" s="10" t="n">
        <f aca="false">SUMIFS(Base_Padronizada!$H$4:$H$99,Base_Padronizada!$A$4:$A$99,$A6)</f>
        <v>3804543.25</v>
      </c>
      <c r="G6" s="10" t="n">
        <f aca="false">C6-F6</f>
        <v>2023250.49</v>
      </c>
      <c r="H6" s="11" t="n">
        <f aca="false">AVERAGEIFS(Base_Padronizada!$I$4:$I$99,Base_Padronizada!$A$4:$A$99,$A6)</f>
        <v>0.837916666666667</v>
      </c>
      <c r="I6" s="12" t="n">
        <f aca="false">AVERAGEIFS(Base_Padronizada!$J$4:$J$99,Base_Padronizada!$A$4:$A$99,$A6)</f>
        <v>33.05</v>
      </c>
    </row>
    <row r="7" customFormat="false" ht="15" hidden="false" customHeight="false" outlineLevel="0" collapsed="false">
      <c r="A7" s="6" t="s">
        <v>82</v>
      </c>
      <c r="B7" s="6" t="n">
        <f aca="false">SUMIFS(Base_Padronizada!$E$4:$E$99,Base_Padronizada!$A$4:$A$99,$A7)</f>
        <v>39316</v>
      </c>
      <c r="C7" s="10" t="n">
        <f aca="false">SUMIFS(Base_Padronizada!$F$4:$F$99,Base_Padronizada!$A$4:$A$99,$A7)</f>
        <v>10404710.7</v>
      </c>
      <c r="D7" s="10" t="n">
        <f aca="false">SUMIFS(Base_Padronizada!$G$4:$G$99,Base_Padronizada!$A$4:$A$99,$A7)</f>
        <v>512986.46</v>
      </c>
      <c r="E7" s="11" t="n">
        <f aca="false">IFERROR(D7/C7,0)</f>
        <v>0.0493032891342188</v>
      </c>
      <c r="F7" s="10" t="n">
        <f aca="false">SUMIFS(Base_Padronizada!$H$4:$H$99,Base_Padronizada!$A$4:$A$99,$A7)</f>
        <v>6468266.84</v>
      </c>
      <c r="G7" s="10" t="n">
        <f aca="false">C7-F7</f>
        <v>3936443.86</v>
      </c>
      <c r="H7" s="11" t="n">
        <f aca="false">AVERAGEIFS(Base_Padronizada!$I$4:$I$99,Base_Padronizada!$A$4:$A$99,$A7)</f>
        <v>0.805583333333333</v>
      </c>
      <c r="I7" s="12" t="n">
        <f aca="false">AVERAGEIFS(Base_Padronizada!$J$4:$J$99,Base_Padronizada!$A$4:$A$99,$A7)</f>
        <v>36.5583333333333</v>
      </c>
    </row>
    <row r="8" customFormat="false" ht="15" hidden="false" customHeight="false" outlineLevel="0" collapsed="false">
      <c r="A8" s="6" t="s">
        <v>83</v>
      </c>
      <c r="B8" s="6" t="n">
        <f aca="false">SUMIFS(Base_Padronizada!$E$4:$E$99,Base_Padronizada!$A$4:$A$99,$A8)</f>
        <v>13107</v>
      </c>
      <c r="C8" s="10" t="n">
        <f aca="false">SUMIFS(Base_Padronizada!$F$4:$F$99,Base_Padronizada!$A$4:$A$99,$A8)</f>
        <v>3361233.67</v>
      </c>
      <c r="D8" s="10" t="n">
        <f aca="false">SUMIFS(Base_Padronizada!$G$4:$G$99,Base_Padronizada!$A$4:$A$99,$A8)</f>
        <v>195824.21</v>
      </c>
      <c r="E8" s="11" t="n">
        <f aca="false">IFERROR(D8/C8,0)</f>
        <v>0.0582596240623759</v>
      </c>
      <c r="F8" s="10" t="n">
        <f aca="false">SUMIFS(Base_Padronizada!$H$4:$H$99,Base_Padronizada!$A$4:$A$99,$A8)</f>
        <v>2174638.34</v>
      </c>
      <c r="G8" s="10" t="n">
        <f aca="false">C8-F8</f>
        <v>1186595.33</v>
      </c>
      <c r="H8" s="11" t="n">
        <f aca="false">AVERAGEIFS(Base_Padronizada!$I$4:$I$99,Base_Padronizada!$A$4:$A$99,$A8)</f>
        <v>0.818333333333333</v>
      </c>
      <c r="I8" s="12" t="n">
        <f aca="false">AVERAGEIFS(Base_Padronizada!$J$4:$J$99,Base_Padronizada!$A$4:$A$99,$A8)</f>
        <v>29.6</v>
      </c>
    </row>
    <row r="9" customFormat="false" ht="15" hidden="false" customHeight="false" outlineLevel="0" collapsed="false">
      <c r="A9" s="6" t="s">
        <v>84</v>
      </c>
      <c r="B9" s="6" t="n">
        <f aca="false">SUMIFS(Base_Padronizada!$E$4:$E$99,Base_Padronizada!$A$4:$A$99,$A9)</f>
        <v>24266</v>
      </c>
      <c r="C9" s="10" t="n">
        <f aca="false">SUMIFS(Base_Padronizada!$F$4:$F$99,Base_Padronizada!$A$4:$A$99,$A9)</f>
        <v>6678311.98</v>
      </c>
      <c r="D9" s="10" t="n">
        <f aca="false">SUMIFS(Base_Padronizada!$G$4:$G$99,Base_Padronizada!$A$4:$A$99,$A9)</f>
        <v>415144.25</v>
      </c>
      <c r="E9" s="11" t="n">
        <f aca="false">IFERROR(D9/C9,0)</f>
        <v>0.0621630512685333</v>
      </c>
      <c r="F9" s="10" t="n">
        <f aca="false">SUMIFS(Base_Padronizada!$H$4:$H$99,Base_Padronizada!$A$4:$A$99,$A9)</f>
        <v>4199187.84</v>
      </c>
      <c r="G9" s="10" t="n">
        <f aca="false">C9-F9</f>
        <v>2479124.14</v>
      </c>
      <c r="H9" s="11" t="n">
        <f aca="false">AVERAGEIFS(Base_Padronizada!$I$4:$I$99,Base_Padronizada!$A$4:$A$99,$A9)</f>
        <v>0.738916666666667</v>
      </c>
      <c r="I9" s="12" t="n">
        <f aca="false">AVERAGEIFS(Base_Padronizada!$J$4:$J$99,Base_Padronizada!$A$4:$A$99,$A9)</f>
        <v>32.85</v>
      </c>
    </row>
    <row r="10" customFormat="false" ht="15" hidden="false" customHeight="false" outlineLevel="0" collapsed="false">
      <c r="A10" s="6" t="s">
        <v>85</v>
      </c>
      <c r="B10" s="6" t="n">
        <f aca="false">SUMIFS(Base_Padronizada!$E$4:$E$99,Base_Padronizada!$A$4:$A$99,$A10)</f>
        <v>11170</v>
      </c>
      <c r="C10" s="10" t="n">
        <f aca="false">SUMIFS(Base_Padronizada!$F$4:$F$99,Base_Padronizada!$A$4:$A$99,$A10)</f>
        <v>2992465.79</v>
      </c>
      <c r="D10" s="10" t="n">
        <f aca="false">SUMIFS(Base_Padronizada!$G$4:$G$99,Base_Padronizada!$A$4:$A$99,$A10)</f>
        <v>163092.12</v>
      </c>
      <c r="E10" s="11" t="n">
        <f aca="false">IFERROR(D10/C10,0)</f>
        <v>0.0545009137765281</v>
      </c>
      <c r="F10" s="10" t="n">
        <f aca="false">SUMIFS(Base_Padronizada!$H$4:$H$99,Base_Padronizada!$A$4:$A$99,$A10)</f>
        <v>1912301.21</v>
      </c>
      <c r="G10" s="10" t="n">
        <f aca="false">C10-F10</f>
        <v>1080164.58</v>
      </c>
      <c r="H10" s="11" t="n">
        <f aca="false">AVERAGEIFS(Base_Padronizada!$I$4:$I$99,Base_Padronizada!$A$4:$A$99,$A10)</f>
        <v>0.789666666666667</v>
      </c>
      <c r="I10" s="12" t="n">
        <f aca="false">AVERAGEIFS(Base_Padronizada!$J$4:$J$99,Base_Padronizada!$A$4:$A$99,$A10)</f>
        <v>29.7666666666667</v>
      </c>
    </row>
    <row r="11" customFormat="false" ht="15" hidden="false" customHeight="false" outlineLevel="0" collapsed="false">
      <c r="A11" s="6" t="s">
        <v>86</v>
      </c>
      <c r="B11" s="6" t="n">
        <f aca="false">SUMIFS(Base_Padronizada!$E$4:$E$99,Base_Padronizada!$A$4:$A$99,$A11)</f>
        <v>29129</v>
      </c>
      <c r="C11" s="10" t="n">
        <f aca="false">SUMIFS(Base_Padronizada!$F$4:$F$99,Base_Padronizada!$A$4:$A$99,$A11)</f>
        <v>7680248.06</v>
      </c>
      <c r="D11" s="10" t="n">
        <f aca="false">SUMIFS(Base_Padronizada!$G$4:$G$99,Base_Padronizada!$A$4:$A$99,$A11)</f>
        <v>423675.47</v>
      </c>
      <c r="E11" s="11" t="n">
        <f aca="false">IFERROR(D11/C11,0)</f>
        <v>0.0551642950449181</v>
      </c>
      <c r="F11" s="10" t="n">
        <f aca="false">SUMIFS(Base_Padronizada!$H$4:$H$99,Base_Padronizada!$A$4:$A$99,$A11)</f>
        <v>4893398.73</v>
      </c>
      <c r="G11" s="10" t="n">
        <f aca="false">C11-F11</f>
        <v>2786849.33</v>
      </c>
      <c r="H11" s="11" t="n">
        <f aca="false">AVERAGEIFS(Base_Padronizada!$I$4:$I$99,Base_Padronizada!$A$4:$A$99,$A11)</f>
        <v>0.732333333333333</v>
      </c>
      <c r="I11" s="12" t="n">
        <f aca="false">AVERAGEIFS(Base_Padronizada!$J$4:$J$99,Base_Padronizada!$A$4:$A$99,$A11)</f>
        <v>29.3583333333333</v>
      </c>
    </row>
    <row r="12" customFormat="false" ht="15" hidden="false" customHeight="false" outlineLevel="0" collapsed="false">
      <c r="A12" s="13" t="s">
        <v>95</v>
      </c>
      <c r="B12" s="13" t="n">
        <f aca="false">SUM(B4:B11)</f>
        <v>187958</v>
      </c>
      <c r="C12" s="14" t="n">
        <f aca="false">SUM(C4:C11)</f>
        <v>49074653.57</v>
      </c>
      <c r="D12" s="14" t="n">
        <f aca="false">SUM(D4:D11)</f>
        <v>2832831.06</v>
      </c>
      <c r="E12" s="15" t="n">
        <f aca="false">IFERROR(D12/C12,0)</f>
        <v>0.0577249324024112</v>
      </c>
      <c r="F12" s="14" t="n">
        <f aca="false">SUM(F4:F11)</f>
        <v>31254839.07</v>
      </c>
      <c r="G12" s="14" t="n">
        <f aca="false">C12-F12</f>
        <v>17819814.5</v>
      </c>
      <c r="H12" s="15" t="n">
        <f aca="false">AVERAGE(H4:H11)</f>
        <v>0.776375</v>
      </c>
      <c r="I12" s="16" t="n">
        <f aca="false">AVERAGE(I4:I11)</f>
        <v>31.43125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2026-08-30T17:23:26Z</dcterms:created>
  <dc:creator>openpyxl</dc:creator>
  <dc:description/>
  <dc:language>en-US</dc:language>
  <cp:lastModifiedBy/>
  <dcterms:modified xsi:type="dcterms:W3CDTF">2026-08-30T17:23:26Z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